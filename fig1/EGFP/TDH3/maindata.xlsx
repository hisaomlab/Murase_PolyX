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1/EGFP/TDH3/"/>
    </mc:Choice>
  </mc:AlternateContent>
  <xr:revisionPtr revIDLastSave="0" documentId="13_ncr:1_{2A98B864-090F-0747-A6B7-10DF8825B54A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Data" sheetId="1" r:id="rId1"/>
    <sheet name="Mean" sheetId="2" r:id="rId2"/>
    <sheet name="SD" sheetId="3" r:id="rId3"/>
    <sheet name="P-Valu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3" i="2"/>
  <c r="F4" i="2"/>
  <c r="E4" i="2"/>
  <c r="F5" i="2"/>
  <c r="E5" i="2"/>
  <c r="F6" i="2"/>
  <c r="E6" i="2"/>
  <c r="F7" i="2"/>
  <c r="E7" i="2"/>
  <c r="F8" i="2"/>
  <c r="E8" i="2"/>
  <c r="F9" i="2"/>
  <c r="E9" i="2"/>
  <c r="F10" i="2"/>
  <c r="E10" i="2"/>
  <c r="F11" i="2"/>
  <c r="E11" i="2"/>
  <c r="F12" i="2"/>
  <c r="E12" i="2"/>
  <c r="F13" i="2"/>
  <c r="E13" i="2"/>
  <c r="F14" i="2"/>
  <c r="E14" i="2"/>
  <c r="F15" i="2"/>
  <c r="E15" i="2"/>
  <c r="F16" i="2"/>
  <c r="E16" i="2"/>
  <c r="F17" i="2"/>
  <c r="E17" i="2"/>
  <c r="F18" i="2"/>
  <c r="E18" i="2"/>
  <c r="F19" i="2"/>
  <c r="E19" i="2"/>
  <c r="F20" i="2"/>
  <c r="E20" i="2"/>
  <c r="F21" i="2"/>
  <c r="E21" i="2"/>
  <c r="F22" i="2"/>
  <c r="E22" i="2"/>
  <c r="E2" i="2"/>
  <c r="F2" i="2"/>
</calcChain>
</file>

<file path=xl/sharedStrings.xml><?xml version="1.0" encoding="utf-8"?>
<sst xmlns="http://schemas.openxmlformats.org/spreadsheetml/2006/main" count="173" uniqueCount="125">
  <si>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</si>
  <si>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</si>
  <si>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</si>
  <si>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</si>
  <si>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</si>
  <si>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</si>
  <si>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</si>
  <si>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</si>
  <si>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</si>
  <si>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</si>
  <si>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</si>
  <si>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</si>
  <si>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</si>
  <si>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</si>
  <si>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</si>
  <si>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</si>
  <si>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</si>
  <si>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</si>
  <si>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</si>
  <si>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</si>
  <si>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</si>
  <si>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</si>
  <si>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Empty_9</t>
  </si>
  <si>
    <t>T_2</t>
  </si>
  <si>
    <t>Empty_10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</si>
  <si>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</si>
  <si>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</si>
  <si>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</si>
  <si>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</si>
  <si>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</si>
  <si>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</si>
  <si>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</si>
  <si>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</si>
  <si>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</si>
  <si>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</si>
  <si>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</si>
  <si>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</si>
  <si>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</si>
  <si>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</si>
  <si>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</si>
  <si>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</si>
  <si>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</si>
  <si>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</si>
  <si>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</si>
  <si>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</si>
  <si>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</si>
  <si>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</si>
  <si>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</si>
  <si>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</si>
  <si>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</si>
  <si>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</si>
  <si>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</si>
  <si>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</si>
  <si>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</si>
  <si>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</si>
  <si>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</si>
  <si>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</si>
  <si>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</si>
  <si>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</si>
  <si>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</si>
  <si>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</si>
  <si>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</si>
  <si>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</si>
  <si>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</si>
  <si>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</si>
  <si>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</si>
  <si>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</si>
  <si>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</si>
  <si>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</si>
  <si>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</si>
  <si>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</si>
  <si>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</si>
  <si>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</si>
  <si>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</si>
  <si>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</si>
  <si>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</si>
  <si>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</si>
  <si>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</si>
  <si>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</si>
  <si>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</si>
  <si>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</si>
  <si>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</si>
  <si>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</si>
  <si>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</si>
  <si>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</si>
  <si>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</si>
  <si>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</si>
  <si>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</si>
  <si>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</si>
  <si>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</si>
  <si>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</si>
  <si>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</si>
  <si>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</si>
  <si>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</si>
  <si>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</si>
  <si>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</si>
  <si>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</si>
  <si>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</si>
  <si>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</si>
  <si>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</si>
  <si>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</si>
  <si>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</si>
  <si>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</si>
  <si>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</si>
  <si>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</si>
  <si>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</si>
  <si>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</si>
  <si>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</si>
  <si>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</si>
  <si>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</si>
  <si>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</si>
  <si>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</si>
  <si>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</si>
  <si>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</si>
  <si>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</si>
  <si>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</si>
  <si>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</si>
  <si>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</si>
  <si>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</si>
  <si>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</si>
  <si>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</si>
  <si>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</si>
  <si>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</si>
  <si>
    <t>%MGR</t>
    <phoneticPr fontId="2"/>
  </si>
  <si>
    <t xml:space="preserve"> %MFI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</si>
</sst>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alpha val="49908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06D5347-D24C-7545-BCE6-B4D88336248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95C-E04D-97CB-3E7857B1DF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41646A-F716-FC4A-9A56-36E1B31B00C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95C-E04D-97CB-3E7857B1DF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326ADC-6BAF-BF47-8B5C-5C727FE9860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95C-E04D-97CB-3E7857B1DF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F3C63DE-1A7C-AD49-B299-C2A392F7063A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95C-E04D-97CB-3E7857B1DF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364B6A-F410-0B42-BD21-19B35B43700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95C-E04D-97CB-3E7857B1DF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32DF17D-984F-7C4B-A863-3EDEF9BF1B9F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95C-E04D-97CB-3E7857B1DF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3C39BC-3D04-3F4D-A1D7-B9F838B429B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95C-E04D-97CB-3E7857B1DF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47AF77-E50D-6940-8869-C28CC1F0597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95C-E04D-97CB-3E7857B1DF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52BE3B0-877C-2944-9867-399A90D6DAB1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95C-E04D-97CB-3E7857B1DF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5E91BF3-D5EB-6B4F-98E5-A33BCB4BA80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95C-E04D-97CB-3E7857B1DF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90B98CD-EEA6-AB43-BBD6-2113A4D341FB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95C-E04D-97CB-3E7857B1DF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0E0A5D7-BA29-3643-9DB6-1A5AC09676A3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95C-E04D-97CB-3E7857B1DF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7FFC59E-0A0A-464C-9A51-5452DA63223E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95C-E04D-97CB-3E7857B1DF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BFD274C-249F-0449-BF46-12E1D793760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95C-E04D-97CB-3E7857B1DF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1AEFA7B-2F60-0249-A179-ED3ABFB6250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95C-E04D-97CB-3E7857B1DF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7684A62-F5DF-494B-8D3A-2EF5E4D5A5AD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95C-E04D-97CB-3E7857B1DF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165FB86-14C4-6B4D-9E1D-58E1CD8B4A49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95C-E04D-97CB-3E7857B1DF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6C88A37-8AD7-DB40-8D94-2ADCD4F01A65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95C-E04D-97CB-3E7857B1DF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F2BBD5E-BB49-794A-AB2E-80D089470B0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95C-E04D-97CB-3E7857B1DF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56349ED-A446-924C-8100-4B8EE3F9D207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95C-E04D-97CB-3E7857B1DF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955F65C-5B95-9B4D-9B70-DD0B742502D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95C-E04D-97CB-3E7857B1DF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Mean!$E$2:$E$22</c:f>
              <c:numCache>
                <c:formatCode>General</c:formatCode>
                <c:ptCount val="21"/>
                <c:pt idx="0">
                  <c:v>100</c:v>
                </c:pt>
                <c:pt idx="1">
                  <c:v>101.31094736295232</c:v>
                </c:pt>
                <c:pt idx="2">
                  <c:v>25.470824061165999</c:v>
                </c:pt>
                <c:pt idx="3">
                  <c:v>94.990864930859217</c:v>
                </c:pt>
                <c:pt idx="4">
                  <c:v>106.87511364718718</c:v>
                </c:pt>
                <c:pt idx="5">
                  <c:v>1.8183549948479941E-2</c:v>
                </c:pt>
                <c:pt idx="6">
                  <c:v>74.765562088164245</c:v>
                </c:pt>
                <c:pt idx="7">
                  <c:v>78.6802206270727</c:v>
                </c:pt>
                <c:pt idx="8">
                  <c:v>2.7708266588159912E-2</c:v>
                </c:pt>
                <c:pt idx="9">
                  <c:v>12.33017863173116</c:v>
                </c:pt>
                <c:pt idx="10">
                  <c:v>2.9440033249919909E-2</c:v>
                </c:pt>
                <c:pt idx="11">
                  <c:v>2.9440033249919909E-2</c:v>
                </c:pt>
                <c:pt idx="12">
                  <c:v>123.81005983253817</c:v>
                </c:pt>
                <c:pt idx="13">
                  <c:v>0.37319571560927883</c:v>
                </c:pt>
                <c:pt idx="14">
                  <c:v>119.7871658772697</c:v>
                </c:pt>
                <c:pt idx="15">
                  <c:v>0.36251648786175888</c:v>
                </c:pt>
                <c:pt idx="16">
                  <c:v>118.81044948003705</c:v>
                </c:pt>
                <c:pt idx="17">
                  <c:v>123.13726848444439</c:v>
                </c:pt>
                <c:pt idx="18">
                  <c:v>1.5585899955839949E-2</c:v>
                </c:pt>
                <c:pt idx="19">
                  <c:v>8.774284419583972E-2</c:v>
                </c:pt>
                <c:pt idx="20">
                  <c:v>3.3769449904319897E-2</c:v>
                </c:pt>
              </c:numCache>
            </c:numRef>
          </c:xVal>
          <c:yVal>
            <c:numRef>
              <c:f>Mean!$F$2:$F$22</c:f>
              <c:numCache>
                <c:formatCode>General</c:formatCode>
                <c:ptCount val="21"/>
                <c:pt idx="0">
                  <c:v>100</c:v>
                </c:pt>
                <c:pt idx="1">
                  <c:v>92.652217474652488</c:v>
                </c:pt>
                <c:pt idx="2">
                  <c:v>63.216499900777066</c:v>
                </c:pt>
                <c:pt idx="3">
                  <c:v>108.21751350257995</c:v>
                </c:pt>
                <c:pt idx="4">
                  <c:v>160.67551466732039</c:v>
                </c:pt>
                <c:pt idx="5">
                  <c:v>5.4948693642558828</c:v>
                </c:pt>
                <c:pt idx="6">
                  <c:v>56.799163786820742</c:v>
                </c:pt>
                <c:pt idx="7">
                  <c:v>96.515997533684441</c:v>
                </c:pt>
                <c:pt idx="8">
                  <c:v>18.117598638828465</c:v>
                </c:pt>
                <c:pt idx="9">
                  <c:v>35.282228489785503</c:v>
                </c:pt>
                <c:pt idx="10">
                  <c:v>5.4948693642558828</c:v>
                </c:pt>
                <c:pt idx="11">
                  <c:v>5.4948693642558828</c:v>
                </c:pt>
                <c:pt idx="12">
                  <c:v>89.851876927657045</c:v>
                </c:pt>
                <c:pt idx="13">
                  <c:v>16.948771172589979</c:v>
                </c:pt>
                <c:pt idx="14">
                  <c:v>106.68789140954613</c:v>
                </c:pt>
                <c:pt idx="15">
                  <c:v>7.5964105686906507</c:v>
                </c:pt>
                <c:pt idx="16">
                  <c:v>99.182368945056098</c:v>
                </c:pt>
                <c:pt idx="17">
                  <c:v>86.438691891450944</c:v>
                </c:pt>
                <c:pt idx="18">
                  <c:v>15.818870072260646</c:v>
                </c:pt>
                <c:pt idx="19">
                  <c:v>7.1442975804897415</c:v>
                </c:pt>
                <c:pt idx="20">
                  <c:v>13.378946792030888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Mean!$A$2:$A$22</c15:f>
                <c15:dlblRangeCache>
                  <c:ptCount val="21"/>
                  <c:pt idx="0">
                    <c:v>Δ</c:v>
                  </c:pt>
                  <c:pt idx="1">
                    <c:v>A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  <c:pt idx="9">
                    <c:v>K</c:v>
                  </c:pt>
                  <c:pt idx="10">
                    <c:v>L</c:v>
                  </c:pt>
                  <c:pt idx="11">
                    <c:v>M</c:v>
                  </c:pt>
                  <c:pt idx="12">
                    <c:v>N</c:v>
                  </c:pt>
                  <c:pt idx="13">
                    <c:v>P</c:v>
                  </c:pt>
                  <c:pt idx="14">
                    <c:v>Q</c:v>
                  </c:pt>
                  <c:pt idx="15">
                    <c:v>R</c:v>
                  </c:pt>
                  <c:pt idx="16">
                    <c:v>S</c:v>
                  </c:pt>
                  <c:pt idx="17">
                    <c:v>T</c:v>
                  </c:pt>
                  <c:pt idx="18">
                    <c:v>V</c:v>
                  </c:pt>
                  <c:pt idx="19">
                    <c:v>W</c:v>
                  </c:pt>
                  <c:pt idx="20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95C-E04D-97CB-3E7857B1D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024848"/>
        <c:axId val="948026560"/>
      </c:scatterChart>
      <c:valAx>
        <c:axId val="948024848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kumimoji="1" lang="en-US" altLang="ja-JP" sz="10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Expression level (%MFI / </a:t>
                </a:r>
                <a:r>
                  <a:rPr kumimoji="1" lang="en-US" altLang="ja-JP" sz="1000" b="0" i="0" u="none" strike="noStrike" kern="1200" baseline="0" dirty="0" err="1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kumimoji="1" lang="en-US" altLang="ja-JP" sz="10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kumimoji="1" lang="ja-JP" altLang="en-US" sz="1000" b="0" i="0" u="none" strike="noStrike" kern="1200" baseline="0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8026560"/>
        <c:crosses val="autoZero"/>
        <c:crossBetween val="midCat"/>
        <c:majorUnit val="20"/>
      </c:valAx>
      <c:valAx>
        <c:axId val="948026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kumimoji="1" lang="en-US" altLang="ja-JP" sz="10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Fitness (%MGR/ /</a:t>
                </a:r>
                <a:r>
                  <a:rPr kumimoji="1" lang="en-US" altLang="ja-JP" sz="1000" b="0" i="0" u="none" strike="noStrike" kern="1200" baseline="0" dirty="0" err="1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</a:t>
                </a:r>
                <a:r>
                  <a:rPr kumimoji="1" lang="en-US" altLang="ja-JP" sz="10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kumimoji="1" lang="ja-JP" altLang="en-US" sz="1000" b="0" i="0" u="none" strike="noStrike" kern="1200" baseline="0">
                  <a:solidFill>
                    <a:prstClr val="black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94802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0</xdr:row>
      <xdr:rowOff>165100</xdr:rowOff>
    </xdr:from>
    <xdr:to>
      <xdr:col>14</xdr:col>
      <xdr:colOff>292100</xdr:colOff>
      <xdr:row>22</xdr:row>
      <xdr:rowOff>152400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3D77E06-7BA4-F657-E03E-13CF270BA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workbookViewId="0"/>
  </sheetViews>
  <sheetFormatPr baseColWidth="10" defaultColWidth="8.83203125" defaultRowHeight="14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1.581998316785884</v>
      </c>
      <c r="C2">
        <v>7447.25</v>
      </c>
      <c r="D2">
        <v>8968.8897167471969</v>
      </c>
    </row>
    <row r="3" spans="1:4">
      <c r="A3" s="1" t="s">
        <v>4</v>
      </c>
      <c r="B3">
        <v>2.08261388994134</v>
      </c>
      <c r="C3">
        <v>6414</v>
      </c>
      <c r="D3">
        <v>10168.91108253765</v>
      </c>
    </row>
    <row r="4" spans="1:4">
      <c r="A4" s="1" t="s">
        <v>5</v>
      </c>
      <c r="B4">
        <v>0.1</v>
      </c>
      <c r="C4">
        <v>1</v>
      </c>
      <c r="D4">
        <v>7.6126652605957398E-2</v>
      </c>
    </row>
    <row r="5" spans="1:4">
      <c r="A5" s="1" t="s">
        <v>6</v>
      </c>
      <c r="B5">
        <v>1.8223803132385119</v>
      </c>
      <c r="C5">
        <v>5550.75</v>
      </c>
      <c r="D5">
        <v>7700.6505605600069</v>
      </c>
    </row>
    <row r="6" spans="1:4">
      <c r="A6" s="1" t="s">
        <v>7</v>
      </c>
      <c r="B6">
        <v>0.91491833468156636</v>
      </c>
      <c r="C6">
        <v>1261.25</v>
      </c>
      <c r="D6">
        <v>878.45646573960983</v>
      </c>
    </row>
    <row r="7" spans="1:4">
      <c r="A7" s="1" t="s">
        <v>8</v>
      </c>
      <c r="B7">
        <v>0.1</v>
      </c>
      <c r="C7">
        <v>1</v>
      </c>
      <c r="D7">
        <v>7.6126652605957398E-2</v>
      </c>
    </row>
    <row r="8" spans="1:4">
      <c r="A8" s="1" t="s">
        <v>9</v>
      </c>
      <c r="B8">
        <v>0.26954681255206392</v>
      </c>
      <c r="C8">
        <v>6.25</v>
      </c>
      <c r="D8">
        <v>1.2824810350121301</v>
      </c>
    </row>
    <row r="9" spans="1:4">
      <c r="A9" s="1" t="s">
        <v>10</v>
      </c>
      <c r="B9">
        <v>0.1</v>
      </c>
      <c r="C9">
        <v>22.25</v>
      </c>
      <c r="D9">
        <v>1.6938180204825519</v>
      </c>
    </row>
    <row r="10" spans="1:4">
      <c r="A10" s="1" t="s">
        <v>11</v>
      </c>
      <c r="B10">
        <v>1.5759869692174879</v>
      </c>
      <c r="C10">
        <v>7810.25</v>
      </c>
      <c r="D10">
        <v>9370.3171741195656</v>
      </c>
    </row>
    <row r="11" spans="1:4">
      <c r="A11" s="1" t="s">
        <v>12</v>
      </c>
      <c r="B11">
        <v>0.19005281692209389</v>
      </c>
      <c r="C11">
        <v>6</v>
      </c>
      <c r="D11">
        <v>0.86808508623671177</v>
      </c>
    </row>
    <row r="12" spans="1:4">
      <c r="A12" s="1" t="s">
        <v>13</v>
      </c>
      <c r="B12">
        <v>1.8978571337056891</v>
      </c>
      <c r="C12">
        <v>6592.25</v>
      </c>
      <c r="D12">
        <v>9524.318700000882</v>
      </c>
    </row>
    <row r="13" spans="1:4">
      <c r="A13" s="1" t="s">
        <v>14</v>
      </c>
      <c r="B13">
        <v>0.64813146525531873</v>
      </c>
      <c r="C13">
        <v>0.1</v>
      </c>
      <c r="D13">
        <v>4.9340078898481791E-2</v>
      </c>
    </row>
    <row r="14" spans="1:4">
      <c r="A14" s="1" t="s">
        <v>15</v>
      </c>
      <c r="B14">
        <v>1.7538394732388021</v>
      </c>
      <c r="C14">
        <v>7419.5</v>
      </c>
      <c r="D14">
        <v>9906.0659106536968</v>
      </c>
    </row>
    <row r="15" spans="1:4">
      <c r="A15" s="1" t="s">
        <v>16</v>
      </c>
      <c r="B15">
        <v>1.921268314424057</v>
      </c>
      <c r="C15">
        <v>6831</v>
      </c>
      <c r="D15">
        <v>9991.001851295403</v>
      </c>
    </row>
    <row r="16" spans="1:4">
      <c r="A16" s="1" t="s">
        <v>17</v>
      </c>
      <c r="B16">
        <v>0.1</v>
      </c>
      <c r="C16">
        <v>1.25</v>
      </c>
      <c r="D16">
        <v>9.5158315757446738E-2</v>
      </c>
    </row>
    <row r="17" spans="1:4">
      <c r="A17" s="1" t="s">
        <v>18</v>
      </c>
      <c r="B17">
        <v>1.6834248658638109</v>
      </c>
      <c r="C17">
        <v>5356.75</v>
      </c>
      <c r="D17">
        <v>6864.8626086704426</v>
      </c>
    </row>
    <row r="18" spans="1:4">
      <c r="A18" s="1" t="s">
        <v>19</v>
      </c>
      <c r="B18">
        <v>0.60959673140423365</v>
      </c>
      <c r="C18">
        <v>770.25</v>
      </c>
      <c r="D18">
        <v>357.44651762679979</v>
      </c>
    </row>
    <row r="19" spans="1:4">
      <c r="A19" s="1" t="s">
        <v>20</v>
      </c>
      <c r="B19">
        <v>0.1</v>
      </c>
      <c r="C19">
        <v>3</v>
      </c>
      <c r="D19">
        <v>0.22837995781787221</v>
      </c>
    </row>
    <row r="20" spans="1:4">
      <c r="A20" s="1" t="s">
        <v>21</v>
      </c>
      <c r="B20">
        <v>0.47908681404612791</v>
      </c>
      <c r="C20">
        <v>59.25</v>
      </c>
      <c r="D20">
        <v>21.609230710633309</v>
      </c>
    </row>
    <row r="21" spans="1:4">
      <c r="A21" s="1" t="s">
        <v>22</v>
      </c>
      <c r="B21">
        <v>4.2519161338086517</v>
      </c>
      <c r="C21">
        <v>1876.25</v>
      </c>
      <c r="D21">
        <v>6073.1237223075386</v>
      </c>
    </row>
    <row r="22" spans="1:4">
      <c r="A22" s="1" t="s">
        <v>23</v>
      </c>
      <c r="B22">
        <v>1.5458991316623949</v>
      </c>
      <c r="C22">
        <v>8886</v>
      </c>
      <c r="D22">
        <v>10457.411450569991</v>
      </c>
    </row>
    <row r="23" spans="1:4">
      <c r="A23" s="1" t="s">
        <v>24</v>
      </c>
      <c r="B23">
        <v>0.9481357698334627</v>
      </c>
      <c r="C23">
        <v>3252.25</v>
      </c>
      <c r="D23">
        <v>2347.422091188706</v>
      </c>
    </row>
    <row r="24" spans="1:4">
      <c r="A24" s="1" t="s">
        <v>25</v>
      </c>
      <c r="B24">
        <v>1.704399653686375</v>
      </c>
      <c r="C24">
        <v>7310</v>
      </c>
      <c r="D24">
        <v>9484.7425687002542</v>
      </c>
    </row>
    <row r="25" spans="1:4">
      <c r="A25" s="1" t="s">
        <v>26</v>
      </c>
      <c r="B25">
        <v>0.1</v>
      </c>
      <c r="C25">
        <v>0.1</v>
      </c>
      <c r="D25">
        <v>7.6126652605957414E-3</v>
      </c>
    </row>
    <row r="26" spans="1:4">
      <c r="A26" s="1" t="s">
        <v>27</v>
      </c>
      <c r="B26">
        <v>1.704921793835295</v>
      </c>
      <c r="C26">
        <v>7228</v>
      </c>
      <c r="D26">
        <v>9381.2204135665052</v>
      </c>
    </row>
    <row r="27" spans="1:4">
      <c r="A27" s="1" t="s">
        <v>28</v>
      </c>
      <c r="B27">
        <v>1.982628294601718</v>
      </c>
      <c r="C27">
        <v>7176</v>
      </c>
      <c r="D27">
        <v>10830.798185648669</v>
      </c>
    </row>
    <row r="28" spans="1:4">
      <c r="A28" s="1" t="s">
        <v>29</v>
      </c>
      <c r="B28">
        <v>0.1</v>
      </c>
      <c r="C28">
        <v>1</v>
      </c>
      <c r="D28">
        <v>7.6126652605957398E-2</v>
      </c>
    </row>
    <row r="29" spans="1:4">
      <c r="A29" s="1" t="s">
        <v>30</v>
      </c>
      <c r="B29">
        <v>1.7384544189604649</v>
      </c>
      <c r="C29">
        <v>5931.75</v>
      </c>
      <c r="D29">
        <v>7850.2390339966541</v>
      </c>
    </row>
    <row r="30" spans="1:4">
      <c r="A30" s="1" t="s">
        <v>31</v>
      </c>
      <c r="B30">
        <v>0.45747260913032228</v>
      </c>
      <c r="C30">
        <v>760.25</v>
      </c>
      <c r="D30">
        <v>264.76358842521779</v>
      </c>
    </row>
    <row r="31" spans="1:4">
      <c r="A31" s="1" t="s">
        <v>32</v>
      </c>
      <c r="B31">
        <v>0.1</v>
      </c>
      <c r="C31">
        <v>2</v>
      </c>
      <c r="D31">
        <v>0.1522533052119148</v>
      </c>
    </row>
    <row r="32" spans="1:4">
      <c r="A32" s="1" t="s">
        <v>33</v>
      </c>
      <c r="B32">
        <v>0.24285002353676061</v>
      </c>
      <c r="C32">
        <v>2.75</v>
      </c>
      <c r="D32">
        <v>0.5084023828711175</v>
      </c>
    </row>
    <row r="33" spans="1:4">
      <c r="A33" s="1" t="s">
        <v>34</v>
      </c>
      <c r="B33">
        <v>0.21473655141495951</v>
      </c>
      <c r="C33">
        <v>28.5</v>
      </c>
      <c r="D33">
        <v>4.658944832639861</v>
      </c>
    </row>
    <row r="34" spans="1:4">
      <c r="A34" s="1" t="s">
        <v>35</v>
      </c>
      <c r="B34">
        <v>1.5831000013644509</v>
      </c>
      <c r="C34">
        <v>9606.25</v>
      </c>
      <c r="D34">
        <v>11577.07822554905</v>
      </c>
    </row>
    <row r="35" spans="1:4">
      <c r="A35" s="1" t="s">
        <v>36</v>
      </c>
      <c r="B35">
        <v>0.1</v>
      </c>
      <c r="C35">
        <v>7</v>
      </c>
      <c r="D35">
        <v>0.53288656824170177</v>
      </c>
    </row>
    <row r="36" spans="1:4">
      <c r="A36" s="1" t="s">
        <v>37</v>
      </c>
      <c r="B36">
        <v>1.8432477386165531</v>
      </c>
      <c r="C36">
        <v>7681</v>
      </c>
      <c r="D36">
        <v>10778.000727106941</v>
      </c>
    </row>
    <row r="37" spans="1:4">
      <c r="A37" s="1" t="s">
        <v>38</v>
      </c>
      <c r="B37">
        <v>0.3767057021018011</v>
      </c>
      <c r="C37">
        <v>0.1</v>
      </c>
      <c r="D37">
        <v>2.8677344118587082E-2</v>
      </c>
    </row>
    <row r="38" spans="1:4">
      <c r="A38" s="1" t="s">
        <v>39</v>
      </c>
      <c r="B38">
        <v>1.7038751896147111</v>
      </c>
      <c r="C38">
        <v>7156</v>
      </c>
      <c r="D38">
        <v>9282.0701159038072</v>
      </c>
    </row>
    <row r="39" spans="1:4">
      <c r="A39" s="1" t="s">
        <v>40</v>
      </c>
      <c r="B39">
        <v>1.8912027880154441</v>
      </c>
      <c r="C39">
        <v>7005</v>
      </c>
      <c r="D39">
        <v>10085.16418242942</v>
      </c>
    </row>
    <row r="40" spans="1:4">
      <c r="A40" s="1" t="s">
        <v>41</v>
      </c>
      <c r="B40">
        <v>0.1</v>
      </c>
      <c r="C40">
        <v>2</v>
      </c>
      <c r="D40">
        <v>0.1522533052119148</v>
      </c>
    </row>
    <row r="41" spans="1:4">
      <c r="A41" s="1" t="s">
        <v>42</v>
      </c>
      <c r="B41">
        <v>1.7816397371622421</v>
      </c>
      <c r="C41">
        <v>5877.5</v>
      </c>
      <c r="D41">
        <v>7971.669080453752</v>
      </c>
    </row>
    <row r="42" spans="1:4">
      <c r="A42" s="1" t="s">
        <v>43</v>
      </c>
      <c r="B42">
        <v>0.58638846994185756</v>
      </c>
      <c r="C42">
        <v>768.25</v>
      </c>
      <c r="D42">
        <v>342.94519699569111</v>
      </c>
    </row>
    <row r="43" spans="1:4">
      <c r="A43" s="1" t="s">
        <v>44</v>
      </c>
      <c r="B43">
        <v>0.1</v>
      </c>
      <c r="C43">
        <v>2.5</v>
      </c>
      <c r="D43">
        <v>0.1903166315148935</v>
      </c>
    </row>
    <row r="44" spans="1:4">
      <c r="A44" s="1" t="s">
        <v>45</v>
      </c>
      <c r="B44">
        <v>0.24230518443437979</v>
      </c>
      <c r="C44">
        <v>39.5</v>
      </c>
      <c r="D44">
        <v>7.286123627023092</v>
      </c>
    </row>
    <row r="45" spans="1:4">
      <c r="A45" s="1" t="s">
        <v>46</v>
      </c>
      <c r="B45">
        <v>0.1</v>
      </c>
      <c r="C45">
        <v>27.75</v>
      </c>
      <c r="D45">
        <v>2.1125146098153178</v>
      </c>
    </row>
    <row r="46" spans="1:4">
      <c r="A46" s="1" t="s">
        <v>47</v>
      </c>
      <c r="B46">
        <v>1.587333962995761</v>
      </c>
      <c r="C46">
        <v>9250</v>
      </c>
      <c r="D46">
        <v>11177.553958281969</v>
      </c>
    </row>
    <row r="47" spans="1:4">
      <c r="A47" s="1" t="s">
        <v>48</v>
      </c>
      <c r="B47">
        <v>0.1</v>
      </c>
      <c r="C47">
        <v>6</v>
      </c>
      <c r="D47">
        <v>0.45675991563574442</v>
      </c>
    </row>
    <row r="48" spans="1:4">
      <c r="A48" s="1" t="s">
        <v>49</v>
      </c>
      <c r="B48">
        <v>1.8340133930523781</v>
      </c>
      <c r="C48">
        <v>7289</v>
      </c>
      <c r="D48">
        <v>10176.70502962349</v>
      </c>
    </row>
    <row r="49" spans="1:4">
      <c r="A49" s="1" t="s">
        <v>50</v>
      </c>
      <c r="B49">
        <v>0.59989143542307732</v>
      </c>
      <c r="C49">
        <v>0.1</v>
      </c>
      <c r="D49">
        <v>4.566772690574173E-2</v>
      </c>
    </row>
    <row r="50" spans="1:4">
      <c r="A50" s="1" t="s">
        <v>51</v>
      </c>
      <c r="B50">
        <v>1.073104108258182</v>
      </c>
      <c r="C50">
        <v>1648.75</v>
      </c>
      <c r="D50">
        <v>1346.8939425842971</v>
      </c>
    </row>
    <row r="51" spans="1:4">
      <c r="A51" s="1" t="s">
        <v>52</v>
      </c>
      <c r="B51">
        <v>2.8445543315255</v>
      </c>
      <c r="C51">
        <v>7529</v>
      </c>
      <c r="D51">
        <v>16303.778411941281</v>
      </c>
    </row>
    <row r="52" spans="1:4">
      <c r="A52" s="1" t="s">
        <v>53</v>
      </c>
      <c r="B52">
        <v>0.97748286213224989</v>
      </c>
      <c r="C52">
        <v>5724.25</v>
      </c>
      <c r="D52">
        <v>4259.5574324390682</v>
      </c>
    </row>
    <row r="53" spans="1:4">
      <c r="A53" s="1" t="s">
        <v>54</v>
      </c>
      <c r="B53">
        <v>0.1</v>
      </c>
      <c r="C53">
        <v>2.25</v>
      </c>
      <c r="D53">
        <v>0.17128496836340409</v>
      </c>
    </row>
    <row r="54" spans="1:4">
      <c r="A54" s="1" t="s">
        <v>55</v>
      </c>
      <c r="B54">
        <v>0.1</v>
      </c>
      <c r="C54">
        <v>2</v>
      </c>
      <c r="D54">
        <v>0.1522533052119148</v>
      </c>
    </row>
    <row r="55" spans="1:4">
      <c r="A55" s="1" t="s">
        <v>56</v>
      </c>
      <c r="B55">
        <v>1.584967599510765</v>
      </c>
      <c r="C55">
        <v>9508.5</v>
      </c>
      <c r="D55">
        <v>11472.79234838352</v>
      </c>
    </row>
    <row r="56" spans="1:4">
      <c r="A56" s="1" t="s">
        <v>57</v>
      </c>
      <c r="B56">
        <v>1.9872396409304049</v>
      </c>
      <c r="C56">
        <v>9342</v>
      </c>
      <c r="D56">
        <v>14132.755265212119</v>
      </c>
    </row>
    <row r="57" spans="1:4">
      <c r="A57" s="1" t="s">
        <v>58</v>
      </c>
      <c r="B57">
        <v>1.7623062467909261</v>
      </c>
      <c r="C57">
        <v>8991</v>
      </c>
      <c r="D57">
        <v>12062.1885263394</v>
      </c>
    </row>
    <row r="58" spans="1:4">
      <c r="A58" s="1" t="s">
        <v>59</v>
      </c>
      <c r="B58">
        <v>0.1</v>
      </c>
      <c r="C58">
        <v>1</v>
      </c>
      <c r="D58">
        <v>7.6126652605957398E-2</v>
      </c>
    </row>
    <row r="59" spans="1:4">
      <c r="A59" s="1" t="s">
        <v>60</v>
      </c>
      <c r="B59">
        <v>0.1</v>
      </c>
      <c r="C59">
        <v>2.25</v>
      </c>
      <c r="D59">
        <v>0.17128496836340409</v>
      </c>
    </row>
    <row r="60" spans="1:4">
      <c r="A60" s="1" t="s">
        <v>61</v>
      </c>
      <c r="B60">
        <v>3.0769216893282469</v>
      </c>
      <c r="C60">
        <v>1</v>
      </c>
      <c r="D60">
        <v>2.3423574853922711</v>
      </c>
    </row>
    <row r="61" spans="1:4">
      <c r="A61" s="1" t="s">
        <v>62</v>
      </c>
      <c r="B61">
        <v>0.63813938277519167</v>
      </c>
      <c r="C61">
        <v>0.25</v>
      </c>
      <c r="D61">
        <v>0.1214485377667677</v>
      </c>
    </row>
    <row r="62" spans="1:4">
      <c r="A62" s="1" t="s">
        <v>63</v>
      </c>
      <c r="B62">
        <v>1.1576818365410579</v>
      </c>
      <c r="C62">
        <v>1744.75</v>
      </c>
      <c r="D62">
        <v>1537.6559042178619</v>
      </c>
    </row>
    <row r="63" spans="1:4">
      <c r="A63" s="1" t="s">
        <v>64</v>
      </c>
      <c r="B63">
        <v>2.9116401998308739</v>
      </c>
      <c r="C63">
        <v>7708.75</v>
      </c>
      <c r="D63">
        <v>17086.708168892561</v>
      </c>
    </row>
    <row r="64" spans="1:4">
      <c r="A64" s="1" t="s">
        <v>65</v>
      </c>
      <c r="B64">
        <v>1.0487722698654169</v>
      </c>
      <c r="C64">
        <v>5313.75</v>
      </c>
      <c r="D64">
        <v>4242.4726136022036</v>
      </c>
    </row>
    <row r="65" spans="1:4">
      <c r="A65" s="1" t="s">
        <v>66</v>
      </c>
      <c r="B65">
        <v>0.38710768643808441</v>
      </c>
      <c r="C65">
        <v>2.25</v>
      </c>
      <c r="D65">
        <v>0.66305727824777849</v>
      </c>
    </row>
    <row r="66" spans="1:4">
      <c r="A66" s="1" t="s">
        <v>67</v>
      </c>
      <c r="B66">
        <v>0.1</v>
      </c>
      <c r="C66">
        <v>2.25</v>
      </c>
      <c r="D66">
        <v>0.17128496836340409</v>
      </c>
    </row>
    <row r="67" spans="1:4">
      <c r="A67" s="1" t="s">
        <v>68</v>
      </c>
      <c r="B67">
        <v>1.654119367453073</v>
      </c>
      <c r="C67">
        <v>9084.25</v>
      </c>
      <c r="D67">
        <v>11439.121106547989</v>
      </c>
    </row>
    <row r="68" spans="1:4">
      <c r="A68" s="1" t="s">
        <v>69</v>
      </c>
      <c r="B68">
        <v>1.9327165825949311</v>
      </c>
      <c r="C68">
        <v>8877</v>
      </c>
      <c r="D68">
        <v>13060.84051824913</v>
      </c>
    </row>
    <row r="69" spans="1:4">
      <c r="A69" s="1" t="s">
        <v>70</v>
      </c>
      <c r="B69">
        <v>1.8189913019627859</v>
      </c>
      <c r="C69">
        <v>8722.25</v>
      </c>
      <c r="D69">
        <v>12078.023950050439</v>
      </c>
    </row>
    <row r="70" spans="1:4">
      <c r="A70" s="1" t="s">
        <v>71</v>
      </c>
      <c r="B70">
        <v>0.1</v>
      </c>
      <c r="C70">
        <v>1</v>
      </c>
      <c r="D70">
        <v>7.6126652605957398E-2</v>
      </c>
    </row>
    <row r="71" spans="1:4">
      <c r="A71" s="1" t="s">
        <v>72</v>
      </c>
      <c r="B71">
        <v>0.1</v>
      </c>
      <c r="C71">
        <v>2.25</v>
      </c>
      <c r="D71">
        <v>0.17128496836340409</v>
      </c>
    </row>
    <row r="72" spans="1:4">
      <c r="A72" s="1" t="s">
        <v>73</v>
      </c>
      <c r="B72">
        <v>3.2030477122126291</v>
      </c>
      <c r="C72">
        <v>0.75</v>
      </c>
      <c r="D72">
        <v>1.8287797535093799</v>
      </c>
    </row>
    <row r="73" spans="1:4">
      <c r="A73" s="1" t="s">
        <v>74</v>
      </c>
      <c r="B73">
        <v>0.76901011727746438</v>
      </c>
      <c r="C73">
        <v>0.1</v>
      </c>
      <c r="D73">
        <v>5.8542166048448092E-2</v>
      </c>
    </row>
    <row r="74" spans="1:4">
      <c r="A74" s="1" t="s">
        <v>75</v>
      </c>
      <c r="B74">
        <v>1.215141994416173</v>
      </c>
      <c r="C74">
        <v>2096.75</v>
      </c>
      <c r="D74">
        <v>1939.5921394869699</v>
      </c>
    </row>
    <row r="75" spans="1:4">
      <c r="A75" s="1" t="s">
        <v>76</v>
      </c>
      <c r="B75">
        <v>2.9170685916350272</v>
      </c>
      <c r="C75">
        <v>7941.75</v>
      </c>
      <c r="D75">
        <v>17635.97955054784</v>
      </c>
    </row>
    <row r="76" spans="1:4">
      <c r="A76" s="1" t="s">
        <v>77</v>
      </c>
      <c r="B76">
        <v>1.0693366593016991</v>
      </c>
      <c r="C76">
        <v>5526.5</v>
      </c>
      <c r="D76">
        <v>4498.8484513822414</v>
      </c>
    </row>
    <row r="77" spans="1:4">
      <c r="A77" s="1" t="s">
        <v>78</v>
      </c>
      <c r="B77">
        <v>0.1</v>
      </c>
      <c r="C77">
        <v>1.5</v>
      </c>
      <c r="D77">
        <v>0.1141899789089361</v>
      </c>
    </row>
    <row r="78" spans="1:4">
      <c r="A78" s="1" t="s">
        <v>79</v>
      </c>
      <c r="B78">
        <v>0.1</v>
      </c>
      <c r="C78">
        <v>2.25</v>
      </c>
      <c r="D78">
        <v>0.17128496836340409</v>
      </c>
    </row>
    <row r="79" spans="1:4">
      <c r="A79" s="1" t="s">
        <v>80</v>
      </c>
      <c r="B79">
        <v>1.601416194011777</v>
      </c>
      <c r="C79">
        <v>8964.75</v>
      </c>
      <c r="D79">
        <v>10928.96744998463</v>
      </c>
    </row>
    <row r="80" spans="1:4">
      <c r="A80" s="1" t="s">
        <v>81</v>
      </c>
      <c r="B80">
        <v>1.922776407573658</v>
      </c>
      <c r="C80">
        <v>8212.25</v>
      </c>
      <c r="D80">
        <v>12020.64247282307</v>
      </c>
    </row>
    <row r="81" spans="1:4">
      <c r="A81" s="1" t="s">
        <v>82</v>
      </c>
      <c r="B81">
        <v>1.7894982950302589</v>
      </c>
      <c r="C81">
        <v>8496</v>
      </c>
      <c r="D81">
        <v>11573.97463819955</v>
      </c>
    </row>
    <row r="82" spans="1:4">
      <c r="A82" s="1" t="s">
        <v>83</v>
      </c>
      <c r="B82">
        <v>0.24713980304594549</v>
      </c>
      <c r="C82">
        <v>1.25</v>
      </c>
      <c r="D82">
        <v>0.23517407414479269</v>
      </c>
    </row>
    <row r="83" spans="1:4">
      <c r="A83" s="1" t="s">
        <v>84</v>
      </c>
      <c r="B83">
        <v>0.1</v>
      </c>
      <c r="C83">
        <v>2.25</v>
      </c>
      <c r="D83">
        <v>0.17128496836340409</v>
      </c>
    </row>
    <row r="84" spans="1:4">
      <c r="A84" s="1" t="s">
        <v>85</v>
      </c>
      <c r="B84">
        <v>2.799954430525315</v>
      </c>
      <c r="C84">
        <v>0.75</v>
      </c>
      <c r="D84">
        <v>1.5986336868383391</v>
      </c>
    </row>
    <row r="85" spans="1:4">
      <c r="A85" s="1" t="s">
        <v>86</v>
      </c>
      <c r="B85">
        <v>0.51903774287658533</v>
      </c>
      <c r="C85">
        <v>0.5</v>
      </c>
      <c r="D85">
        <v>0.1975630297067302</v>
      </c>
    </row>
    <row r="86" spans="1:4">
      <c r="A86" s="1" t="s">
        <v>87</v>
      </c>
      <c r="B86">
        <v>1.1559284988648311</v>
      </c>
      <c r="C86">
        <v>1863.75</v>
      </c>
      <c r="D86">
        <v>1640.0434775022441</v>
      </c>
    </row>
    <row r="87" spans="1:4">
      <c r="A87" s="1" t="s">
        <v>88</v>
      </c>
      <c r="B87">
        <v>3.0231397587596689</v>
      </c>
      <c r="C87">
        <v>7677.75</v>
      </c>
      <c r="D87">
        <v>17669.6897989471</v>
      </c>
    </row>
    <row r="88" spans="1:4">
      <c r="A88" s="1" t="s">
        <v>89</v>
      </c>
      <c r="B88">
        <v>1.039113514439054</v>
      </c>
      <c r="C88">
        <v>5022</v>
      </c>
      <c r="D88">
        <v>3972.614607969876</v>
      </c>
    </row>
    <row r="89" spans="1:4">
      <c r="A89" s="1" t="s">
        <v>90</v>
      </c>
      <c r="B89">
        <v>0.73176615297898462</v>
      </c>
      <c r="C89">
        <v>2</v>
      </c>
      <c r="D89">
        <v>1.114138154332581</v>
      </c>
    </row>
    <row r="90" spans="1:4">
      <c r="A90" s="1" t="s">
        <v>91</v>
      </c>
      <c r="B90">
        <v>0.1</v>
      </c>
      <c r="C90">
        <v>2</v>
      </c>
      <c r="D90">
        <v>0.1522533052119148</v>
      </c>
    </row>
    <row r="91" spans="1:4">
      <c r="A91" s="1" t="s">
        <v>92</v>
      </c>
      <c r="B91">
        <v>1.700280320585813</v>
      </c>
      <c r="C91">
        <v>8189.25</v>
      </c>
      <c r="D91">
        <v>10599.890802634991</v>
      </c>
    </row>
    <row r="92" spans="1:4">
      <c r="A92" s="1" t="s">
        <v>93</v>
      </c>
      <c r="B92">
        <v>1.9236315415272549</v>
      </c>
      <c r="C92">
        <v>8154</v>
      </c>
      <c r="D92">
        <v>11940.68743865632</v>
      </c>
    </row>
    <row r="93" spans="1:4">
      <c r="A93" s="1" t="s">
        <v>94</v>
      </c>
      <c r="B93">
        <v>1.8492024761205761</v>
      </c>
      <c r="C93">
        <v>8094</v>
      </c>
      <c r="D93">
        <v>11394.21473864443</v>
      </c>
    </row>
    <row r="94" spans="1:4">
      <c r="A94" s="1" t="s">
        <v>95</v>
      </c>
      <c r="B94">
        <v>0.70439767845724555</v>
      </c>
      <c r="C94">
        <v>1.25</v>
      </c>
      <c r="D94">
        <v>0.67029296705447006</v>
      </c>
    </row>
    <row r="95" spans="1:4">
      <c r="A95" s="1" t="s">
        <v>96</v>
      </c>
      <c r="B95">
        <v>0.67392282910752466</v>
      </c>
      <c r="C95">
        <v>3</v>
      </c>
      <c r="D95">
        <v>1.5391046728407749</v>
      </c>
    </row>
    <row r="96" spans="1:4">
      <c r="A96" s="1" t="s">
        <v>97</v>
      </c>
      <c r="B96">
        <v>3.499102299172161</v>
      </c>
      <c r="C96">
        <v>2.5</v>
      </c>
      <c r="D96">
        <v>6.6593736290446452</v>
      </c>
    </row>
    <row r="97" spans="1:4">
      <c r="A97" s="1" t="s">
        <v>98</v>
      </c>
      <c r="B97">
        <v>0.36555536710778691</v>
      </c>
      <c r="C97">
        <v>0.25</v>
      </c>
      <c r="D97">
        <v>6.9571266100144274E-2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abSelected="1" workbookViewId="0">
      <selection activeCell="E27" sqref="E27"/>
    </sheetView>
  </sheetViews>
  <sheetFormatPr baseColWidth="10" defaultColWidth="8.83203125" defaultRowHeight="14"/>
  <sheetData>
    <row r="1" spans="1:6">
      <c r="B1" s="1" t="s">
        <v>0</v>
      </c>
      <c r="C1" s="1" t="s">
        <v>1</v>
      </c>
      <c r="D1" s="1" t="s">
        <v>2</v>
      </c>
      <c r="E1" s="2" t="s">
        <v>124</v>
      </c>
      <c r="F1" s="2" t="s">
        <v>123</v>
      </c>
    </row>
    <row r="2" spans="1:6">
      <c r="A2" s="1" t="s">
        <v>99</v>
      </c>
      <c r="B2">
        <v>1.8198794797652491</v>
      </c>
      <c r="C2">
        <v>7218.0625</v>
      </c>
      <c r="D2">
        <v>9990.9417563578918</v>
      </c>
      <c r="E2">
        <f>C2/$C$2*100</f>
        <v>100</v>
      </c>
      <c r="F2">
        <f>B2/$B$2*100</f>
        <v>100</v>
      </c>
    </row>
    <row r="3" spans="1:6">
      <c r="A3" s="1" t="s">
        <v>100</v>
      </c>
      <c r="B3">
        <v>1.686158693368673</v>
      </c>
      <c r="C3">
        <v>7312.6875</v>
      </c>
      <c r="D3">
        <v>9384.5615392178006</v>
      </c>
      <c r="E3">
        <f>C3/$C$2*100</f>
        <v>101.31094736295232</v>
      </c>
      <c r="F3">
        <f>B3/$B$2*100</f>
        <v>92.652217474652488</v>
      </c>
    </row>
    <row r="4" spans="1:6">
      <c r="A4" s="1" t="s">
        <v>101</v>
      </c>
      <c r="B4">
        <v>1.150464109520061</v>
      </c>
      <c r="C4">
        <v>1838.5</v>
      </c>
      <c r="D4">
        <v>1616.046365947843</v>
      </c>
      <c r="E4">
        <f>C4/$C$2*100</f>
        <v>25.470824061165999</v>
      </c>
      <c r="F4">
        <f>B4/$B$2*100</f>
        <v>63.216499900777066</v>
      </c>
    </row>
    <row r="5" spans="1:6">
      <c r="A5" s="1" t="s">
        <v>102</v>
      </c>
      <c r="B5">
        <v>1.9694283217456401</v>
      </c>
      <c r="C5">
        <v>6856.5</v>
      </c>
      <c r="D5">
        <v>10268.96882547779</v>
      </c>
      <c r="E5">
        <f>C5/$C$2*100</f>
        <v>94.990864930859217</v>
      </c>
      <c r="F5">
        <f>B5/$B$2*100</f>
        <v>108.21751350257995</v>
      </c>
    </row>
    <row r="6" spans="1:6">
      <c r="A6" s="1" t="s">
        <v>103</v>
      </c>
      <c r="B6">
        <v>2.9241007204377669</v>
      </c>
      <c r="C6">
        <v>7714.3125</v>
      </c>
      <c r="D6">
        <v>17174.038982582191</v>
      </c>
      <c r="E6">
        <f>C6/$C$2*100</f>
        <v>106.87511364718718</v>
      </c>
      <c r="F6">
        <f>B6/$B$2*100</f>
        <v>160.67551466732039</v>
      </c>
    </row>
    <row r="7" spans="1:6">
      <c r="A7" s="1" t="s">
        <v>104</v>
      </c>
      <c r="B7">
        <v>0.1</v>
      </c>
      <c r="C7">
        <v>1.3125</v>
      </c>
      <c r="D7">
        <v>9.991623154531909E-2</v>
      </c>
      <c r="E7">
        <f>C7/$C$2*100</f>
        <v>1.8183549948479941E-2</v>
      </c>
      <c r="F7">
        <f>B7/$B$2*100</f>
        <v>5.4948693642558828</v>
      </c>
    </row>
    <row r="8" spans="1:6">
      <c r="A8" s="1" t="s">
        <v>105</v>
      </c>
      <c r="B8">
        <v>1.0336763264346049</v>
      </c>
      <c r="C8">
        <v>5396.625</v>
      </c>
      <c r="D8">
        <v>4243.3732763483476</v>
      </c>
      <c r="E8">
        <f>C8/$C$2*100</f>
        <v>74.765562088164245</v>
      </c>
      <c r="F8">
        <f>B8/$B$2*100</f>
        <v>56.799163786820742</v>
      </c>
    </row>
    <row r="9" spans="1:6">
      <c r="A9" s="1" t="s">
        <v>106</v>
      </c>
      <c r="B9">
        <v>1.756474833806257</v>
      </c>
      <c r="C9">
        <v>5679.1875</v>
      </c>
      <c r="D9">
        <v>7596.8553209202146</v>
      </c>
      <c r="E9">
        <f>C9/$C$2*100</f>
        <v>78.6802206270727</v>
      </c>
      <c r="F9">
        <f>B9/$B$2*100</f>
        <v>96.515997533684441</v>
      </c>
    </row>
    <row r="10" spans="1:6">
      <c r="A10" s="1" t="s">
        <v>107</v>
      </c>
      <c r="B10">
        <v>0.32971845985426729</v>
      </c>
      <c r="C10">
        <v>2</v>
      </c>
      <c r="D10">
        <v>0.51566759496317482</v>
      </c>
      <c r="E10">
        <f>C10/$C$2*100</f>
        <v>2.7708266588159912E-2</v>
      </c>
      <c r="F10">
        <f>B10/$B$2*100</f>
        <v>18.117598638828465</v>
      </c>
    </row>
    <row r="11" spans="1:6">
      <c r="A11" s="1" t="s">
        <v>108</v>
      </c>
      <c r="B11">
        <v>0.64209403628949491</v>
      </c>
      <c r="C11">
        <v>890</v>
      </c>
      <c r="D11">
        <v>460.90294219682971</v>
      </c>
      <c r="E11">
        <f>C11/$C$2*100</f>
        <v>12.33017863173116</v>
      </c>
      <c r="F11">
        <f>B11/$B$2*100</f>
        <v>35.282228489785503</v>
      </c>
    </row>
    <row r="12" spans="1:6">
      <c r="A12" s="1" t="s">
        <v>109</v>
      </c>
      <c r="B12">
        <v>0.1</v>
      </c>
      <c r="C12">
        <v>2.125</v>
      </c>
      <c r="D12">
        <v>0.1617691367876595</v>
      </c>
      <c r="E12">
        <f>C12/$C$2*100</f>
        <v>2.9440033249919909E-2</v>
      </c>
      <c r="F12">
        <f>B12/$B$2*100</f>
        <v>5.4948693642558828</v>
      </c>
    </row>
    <row r="13" spans="1:6">
      <c r="A13" s="1" t="s">
        <v>110</v>
      </c>
      <c r="B13">
        <v>0.1</v>
      </c>
      <c r="C13">
        <v>2.125</v>
      </c>
      <c r="D13">
        <v>0.1617691367876595</v>
      </c>
      <c r="E13">
        <f>C13/$C$2*100</f>
        <v>2.9440033249919909E-2</v>
      </c>
      <c r="F13">
        <f>B13/$B$2*100</f>
        <v>5.4948693642558828</v>
      </c>
    </row>
    <row r="14" spans="1:6">
      <c r="A14" s="1" t="s">
        <v>111</v>
      </c>
      <c r="B14">
        <v>1.6351958703903571</v>
      </c>
      <c r="C14">
        <v>8936.6875</v>
      </c>
      <c r="D14">
        <v>11110.192926887779</v>
      </c>
      <c r="E14">
        <f>C14/$C$2*100</f>
        <v>123.81005983253817</v>
      </c>
      <c r="F14">
        <f>B14/$B$2*100</f>
        <v>89.851876927657045</v>
      </c>
    </row>
    <row r="15" spans="1:6">
      <c r="A15" s="1" t="s">
        <v>112</v>
      </c>
      <c r="B15">
        <v>0.30844720864233299</v>
      </c>
      <c r="C15">
        <v>26.9375</v>
      </c>
      <c r="D15">
        <v>7.6715594388849109</v>
      </c>
      <c r="E15">
        <f>C15/$C$2*100</f>
        <v>0.37319571560927883</v>
      </c>
      <c r="F15">
        <f>B15/$B$2*100</f>
        <v>16.948771172589979</v>
      </c>
    </row>
    <row r="16" spans="1:6">
      <c r="A16" s="1" t="s">
        <v>113</v>
      </c>
      <c r="B16">
        <v>1.9415910431565619</v>
      </c>
      <c r="C16">
        <v>8646.3125</v>
      </c>
      <c r="D16">
        <v>12788.73142373516</v>
      </c>
      <c r="E16">
        <f>C16/$C$2*100</f>
        <v>119.7871658772697</v>
      </c>
      <c r="F16">
        <f>B16/$B$2*100</f>
        <v>106.68789140954613</v>
      </c>
    </row>
    <row r="17" spans="1:6">
      <c r="A17" s="1" t="s">
        <v>114</v>
      </c>
      <c r="B17">
        <v>0.13824551713831981</v>
      </c>
      <c r="C17">
        <v>26.166666666666671</v>
      </c>
      <c r="D17">
        <v>2.8217591543125771</v>
      </c>
      <c r="E17">
        <f>C17/$C$2*100</f>
        <v>0.36251648786175888</v>
      </c>
      <c r="F17">
        <f>B17/$B$2*100</f>
        <v>7.5964105686906507</v>
      </c>
    </row>
    <row r="18" spans="1:6">
      <c r="A18" s="1" t="s">
        <v>115</v>
      </c>
      <c r="B18">
        <v>1.8049995799761369</v>
      </c>
      <c r="C18">
        <v>8575.8125</v>
      </c>
      <c r="D18">
        <v>11777.10046330845</v>
      </c>
      <c r="E18">
        <f>C18/$C$2*100</f>
        <v>118.81044948003705</v>
      </c>
      <c r="F18">
        <f>B18/$B$2*100</f>
        <v>99.182368945056098</v>
      </c>
    </row>
    <row r="19" spans="1:6">
      <c r="A19" s="1" t="s">
        <v>116</v>
      </c>
      <c r="B19">
        <v>1.573080016310024</v>
      </c>
      <c r="C19">
        <v>8888.125</v>
      </c>
      <c r="D19">
        <v>10645.590202130141</v>
      </c>
      <c r="E19">
        <f>C19/$C$2*100</f>
        <v>123.13726848444439</v>
      </c>
      <c r="F19">
        <f>B19/$B$2*100</f>
        <v>86.438691891450944</v>
      </c>
    </row>
    <row r="20" spans="1:6">
      <c r="A20" s="1" t="s">
        <v>117</v>
      </c>
      <c r="B20">
        <v>0.28788437037579773</v>
      </c>
      <c r="C20">
        <v>1.125</v>
      </c>
      <c r="D20">
        <v>0.26443008660279438</v>
      </c>
      <c r="E20">
        <f>C20/$C$2*100</f>
        <v>1.5585899955839949E-2</v>
      </c>
      <c r="F20">
        <f>B20/$B$2*100</f>
        <v>15.818870072260646</v>
      </c>
    </row>
    <row r="21" spans="1:6">
      <c r="A21" s="1" t="s">
        <v>118</v>
      </c>
      <c r="B21">
        <v>0.130017605640698</v>
      </c>
      <c r="C21">
        <v>6.333333333333333</v>
      </c>
      <c r="D21">
        <v>0.61924385670471926</v>
      </c>
      <c r="E21">
        <f>C21/$C$2*100</f>
        <v>8.774284419583972E-2</v>
      </c>
      <c r="F21">
        <f>B21/$B$2*100</f>
        <v>7.1442975804897415</v>
      </c>
    </row>
    <row r="22" spans="1:6">
      <c r="A22" s="1" t="s">
        <v>119</v>
      </c>
      <c r="B22">
        <v>0.2434807072768812</v>
      </c>
      <c r="C22">
        <v>2.4375</v>
      </c>
      <c r="D22">
        <v>0.51323989448274698</v>
      </c>
      <c r="E22">
        <f>C22/$C$2*100</f>
        <v>3.3769449904319897E-2</v>
      </c>
      <c r="F22">
        <f>B22/$B$2*100</f>
        <v>13.378946792030888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ColWidth="8.83203125" defaultRowHeight="14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8.1979566095890619E-2</v>
      </c>
      <c r="C2">
        <v>454.39962106608323</v>
      </c>
      <c r="D2">
        <v>613.17330650752399</v>
      </c>
    </row>
    <row r="3" spans="1:4">
      <c r="A3" s="1" t="s">
        <v>100</v>
      </c>
      <c r="B3">
        <v>7.3248436142700338E-2</v>
      </c>
      <c r="C3">
        <v>142.8739792906089</v>
      </c>
      <c r="D3">
        <v>389.55766727419109</v>
      </c>
    </row>
    <row r="4" spans="1:4">
      <c r="A4" s="1" t="s">
        <v>101</v>
      </c>
      <c r="B4">
        <v>5.8451557504579407E-2</v>
      </c>
      <c r="C4">
        <v>193.32593376644189</v>
      </c>
      <c r="D4">
        <v>247.55189383958509</v>
      </c>
    </row>
    <row r="5" spans="1:4">
      <c r="A5" s="1" t="s">
        <v>102</v>
      </c>
      <c r="B5">
        <v>8.4506079788722113E-2</v>
      </c>
      <c r="C5">
        <v>326.89906699163282</v>
      </c>
      <c r="D5">
        <v>381.53792621203968</v>
      </c>
    </row>
    <row r="6" spans="1:4">
      <c r="A6" s="1" t="s">
        <v>103</v>
      </c>
      <c r="B6">
        <v>7.3803962201682033E-2</v>
      </c>
      <c r="C6">
        <v>170.72033356242801</v>
      </c>
      <c r="D6">
        <v>638.75894042733864</v>
      </c>
    </row>
    <row r="7" spans="1:4">
      <c r="A7" s="1" t="s">
        <v>104</v>
      </c>
      <c r="B7">
        <v>0</v>
      </c>
      <c r="C7">
        <v>0.4732423621500228</v>
      </c>
      <c r="D7">
        <v>3.602635690181747E-2</v>
      </c>
    </row>
    <row r="8" spans="1:4">
      <c r="A8" s="1" t="s">
        <v>105</v>
      </c>
      <c r="B8">
        <v>3.9525583664060823E-2</v>
      </c>
      <c r="C8">
        <v>300.78664226768228</v>
      </c>
      <c r="D8">
        <v>215.12830254093561</v>
      </c>
    </row>
    <row r="9" spans="1:4">
      <c r="A9" s="1" t="s">
        <v>106</v>
      </c>
      <c r="B9">
        <v>5.9547845602558082E-2</v>
      </c>
      <c r="C9">
        <v>272.99438142875152</v>
      </c>
      <c r="D9">
        <v>500.42496705191388</v>
      </c>
    </row>
    <row r="10" spans="1:4">
      <c r="A10" s="1" t="s">
        <v>107</v>
      </c>
      <c r="B10">
        <v>0.30026488998351042</v>
      </c>
      <c r="C10">
        <v>0.35355339059327379</v>
      </c>
      <c r="D10">
        <v>0.46892586438477218</v>
      </c>
    </row>
    <row r="11" spans="1:4">
      <c r="A11" s="1" t="s">
        <v>108</v>
      </c>
      <c r="B11">
        <v>0.19380174930955629</v>
      </c>
      <c r="C11">
        <v>247.53770756526501</v>
      </c>
      <c r="D11">
        <v>281.32949398566302</v>
      </c>
    </row>
    <row r="12" spans="1:4">
      <c r="A12" s="1" t="s">
        <v>109</v>
      </c>
      <c r="B12">
        <v>0</v>
      </c>
      <c r="C12">
        <v>0.14433756729740641</v>
      </c>
      <c r="D12">
        <v>1.0987935843638641E-2</v>
      </c>
    </row>
    <row r="13" spans="1:4">
      <c r="A13" s="1" t="s">
        <v>110</v>
      </c>
      <c r="B13">
        <v>0</v>
      </c>
      <c r="C13">
        <v>0.8539125638299665</v>
      </c>
      <c r="D13">
        <v>6.5005505102546282E-2</v>
      </c>
    </row>
    <row r="14" spans="1:4">
      <c r="A14" s="1" t="s">
        <v>111</v>
      </c>
      <c r="B14">
        <v>5.2465957630075728E-2</v>
      </c>
      <c r="C14">
        <v>550.21042849531671</v>
      </c>
      <c r="D14">
        <v>421.47479930173142</v>
      </c>
    </row>
    <row r="15" spans="1:4">
      <c r="A15" s="1" t="s">
        <v>112</v>
      </c>
      <c r="B15">
        <v>0.1144681524973109</v>
      </c>
      <c r="C15">
        <v>27.1718106070734</v>
      </c>
      <c r="D15">
        <v>9.7730647377428799</v>
      </c>
    </row>
    <row r="16" spans="1:4">
      <c r="A16" s="1" t="s">
        <v>113</v>
      </c>
      <c r="B16">
        <v>3.076299042609798E-2</v>
      </c>
      <c r="C16">
        <v>568.03159298141156</v>
      </c>
      <c r="D16">
        <v>1031.113101283808</v>
      </c>
    </row>
    <row r="17" spans="1:4">
      <c r="A17" s="1" t="s">
        <v>114</v>
      </c>
      <c r="B17">
        <v>6.6243178845316206E-2</v>
      </c>
      <c r="C17">
        <v>3.4125992049072109</v>
      </c>
      <c r="D17">
        <v>1.6047632601003441</v>
      </c>
    </row>
    <row r="18" spans="1:4">
      <c r="A18" s="1" t="s">
        <v>115</v>
      </c>
      <c r="B18">
        <v>3.7472989584252533E-2</v>
      </c>
      <c r="C18">
        <v>379.62170726263798</v>
      </c>
      <c r="D18">
        <v>346.26181208894491</v>
      </c>
    </row>
    <row r="19" spans="1:4">
      <c r="A19" s="1" t="s">
        <v>116</v>
      </c>
      <c r="B19">
        <v>1.871564374210959E-2</v>
      </c>
      <c r="C19">
        <v>776.41828556949031</v>
      </c>
      <c r="D19">
        <v>968.22654273023431</v>
      </c>
    </row>
    <row r="20" spans="1:4">
      <c r="A20" s="1" t="s">
        <v>117</v>
      </c>
      <c r="B20">
        <v>0.28620769197610552</v>
      </c>
      <c r="C20">
        <v>0.14433756729740641</v>
      </c>
      <c r="D20">
        <v>0.28077093777875012</v>
      </c>
    </row>
    <row r="21" spans="1:4">
      <c r="A21" s="1" t="s">
        <v>118</v>
      </c>
      <c r="B21">
        <v>5.1992018091254998E-2</v>
      </c>
      <c r="C21">
        <v>0.57735026918962584</v>
      </c>
      <c r="D21">
        <v>0.21883849054837759</v>
      </c>
    </row>
    <row r="22" spans="1:4">
      <c r="A22" s="1" t="s">
        <v>119</v>
      </c>
      <c r="B22">
        <v>0.28696141455376228</v>
      </c>
      <c r="C22">
        <v>0.375</v>
      </c>
      <c r="D22">
        <v>0.68390985223868561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baseColWidth="10" defaultColWidth="8.83203125" defaultRowHeight="14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1</v>
      </c>
      <c r="D3">
        <v>1</v>
      </c>
    </row>
    <row r="4" spans="1:4">
      <c r="A4" s="1" t="s">
        <v>101</v>
      </c>
      <c r="B4">
        <v>2.3489252840802439E-4</v>
      </c>
      <c r="C4">
        <v>1.282122321567098E-5</v>
      </c>
      <c r="D4">
        <v>5.2370144935237831E-6</v>
      </c>
    </row>
    <row r="5" spans="1:4">
      <c r="A5" s="1" t="s">
        <v>102</v>
      </c>
      <c r="B5">
        <v>0.92520611411969689</v>
      </c>
      <c r="C5">
        <v>1</v>
      </c>
      <c r="D5">
        <v>1</v>
      </c>
    </row>
    <row r="6" spans="1:4">
      <c r="A6" s="1" t="s">
        <v>103</v>
      </c>
      <c r="B6">
        <v>2.116838692096403E-5</v>
      </c>
      <c r="C6">
        <v>1</v>
      </c>
      <c r="D6">
        <v>7.3234003570451915E-5</v>
      </c>
    </row>
    <row r="7" spans="1:4">
      <c r="A7" s="1" t="s">
        <v>104</v>
      </c>
      <c r="B7">
        <v>2.5746006647886701E-7</v>
      </c>
      <c r="C7">
        <v>1.35882139913454E-6</v>
      </c>
      <c r="D7">
        <v>1.1662898767141439E-6</v>
      </c>
    </row>
    <row r="8" spans="1:4">
      <c r="A8" s="1" t="s">
        <v>105</v>
      </c>
      <c r="B8">
        <v>5.0581491005390503E-5</v>
      </c>
      <c r="C8">
        <v>1.140420147089286E-2</v>
      </c>
      <c r="D8">
        <v>4.4007488319313893E-5</v>
      </c>
    </row>
    <row r="9" spans="1:4">
      <c r="A9" s="1" t="s">
        <v>106</v>
      </c>
      <c r="B9">
        <v>1</v>
      </c>
      <c r="C9">
        <v>2.4050802672934579E-2</v>
      </c>
      <c r="D9">
        <v>1.939452866868855E-2</v>
      </c>
    </row>
    <row r="10" spans="1:4">
      <c r="A10" s="1" t="s">
        <v>107</v>
      </c>
      <c r="B10">
        <v>1.557105968632904E-3</v>
      </c>
      <c r="C10">
        <v>1.359592377003381E-6</v>
      </c>
      <c r="D10">
        <v>1.1665817103146511E-6</v>
      </c>
    </row>
    <row r="11" spans="1:4">
      <c r="A11" s="1" t="s">
        <v>108</v>
      </c>
      <c r="B11">
        <v>6.3710595449697929E-4</v>
      </c>
      <c r="C11">
        <v>6.4498203615314261E-6</v>
      </c>
      <c r="D11">
        <v>2.732983508641806E-6</v>
      </c>
    </row>
    <row r="12" spans="1:4">
      <c r="A12" s="1" t="s">
        <v>109</v>
      </c>
      <c r="B12">
        <v>2.5746006647886701E-7</v>
      </c>
      <c r="C12">
        <v>1.3597309159750519E-6</v>
      </c>
      <c r="D12">
        <v>1.166332976461883E-6</v>
      </c>
    </row>
    <row r="13" spans="1:4">
      <c r="A13" s="1" t="s">
        <v>110</v>
      </c>
      <c r="B13">
        <v>2.5746006647886701E-7</v>
      </c>
      <c r="C13">
        <v>1.359744837418639E-6</v>
      </c>
      <c r="D13">
        <v>1.1663330144762611E-6</v>
      </c>
    </row>
    <row r="14" spans="1:4">
      <c r="A14" s="1" t="s">
        <v>111</v>
      </c>
      <c r="B14">
        <v>0.18943788303929471</v>
      </c>
      <c r="C14">
        <v>6.1940766370709957E-2</v>
      </c>
      <c r="D14">
        <v>0.49867131174982993</v>
      </c>
    </row>
    <row r="15" spans="1:4">
      <c r="A15" s="1" t="s">
        <v>112</v>
      </c>
      <c r="B15">
        <v>1.398985367029835E-5</v>
      </c>
      <c r="C15">
        <v>1.40283931012363E-6</v>
      </c>
      <c r="D15">
        <v>1.1724697300863471E-6</v>
      </c>
    </row>
    <row r="16" spans="1:4">
      <c r="A16" s="1" t="s">
        <v>113</v>
      </c>
      <c r="B16">
        <v>0.67191441303928867</v>
      </c>
      <c r="C16">
        <v>0.16254685841663169</v>
      </c>
      <c r="D16">
        <v>7.2487638459502582E-2</v>
      </c>
    </row>
    <row r="17" spans="1:4">
      <c r="A17" s="1" t="s">
        <v>114</v>
      </c>
      <c r="B17">
        <v>1.938093621646332E-5</v>
      </c>
      <c r="C17">
        <v>2.8656769420039991E-5</v>
      </c>
      <c r="D17">
        <v>2.4835752870845011E-5</v>
      </c>
    </row>
    <row r="18" spans="1:4">
      <c r="A18" s="1" t="s">
        <v>115</v>
      </c>
      <c r="B18">
        <v>1</v>
      </c>
      <c r="C18">
        <v>7.8669216784564233E-2</v>
      </c>
      <c r="D18">
        <v>4.7907164326865682E-2</v>
      </c>
    </row>
    <row r="19" spans="1:4">
      <c r="A19" s="1" t="s">
        <v>116</v>
      </c>
      <c r="B19">
        <v>2.2715762575524899E-2</v>
      </c>
      <c r="C19">
        <v>0.20865798811139491</v>
      </c>
      <c r="D19">
        <v>1</v>
      </c>
    </row>
    <row r="20" spans="1:4">
      <c r="A20" s="1" t="s">
        <v>117</v>
      </c>
      <c r="B20">
        <v>1.0321938511284219E-3</v>
      </c>
      <c r="C20">
        <v>1.358606702107304E-6</v>
      </c>
      <c r="D20">
        <v>1.166405262830292E-6</v>
      </c>
    </row>
    <row r="21" spans="1:4">
      <c r="A21" s="1" t="s">
        <v>118</v>
      </c>
      <c r="B21">
        <v>1.390080044508863E-5</v>
      </c>
      <c r="C21">
        <v>2.8264621869161559E-5</v>
      </c>
      <c r="D21">
        <v>2.4808265103624491E-5</v>
      </c>
    </row>
    <row r="22" spans="1:4">
      <c r="A22" s="1" t="s">
        <v>119</v>
      </c>
      <c r="B22">
        <v>8.8872132372009183E-4</v>
      </c>
      <c r="C22">
        <v>1.360084810152531E-6</v>
      </c>
      <c r="D22">
        <v>1.166582313415828E-6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村瀬 遊大</cp:lastModifiedBy>
  <dcterms:created xsi:type="dcterms:W3CDTF">2025-09-11T10:22:46Z</dcterms:created>
  <dcterms:modified xsi:type="dcterms:W3CDTF">2025-12-13T09:48:03Z</dcterms:modified>
</cp:coreProperties>
</file>