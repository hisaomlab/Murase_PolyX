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github/fig6/"/>
    </mc:Choice>
  </mc:AlternateContent>
  <xr:revisionPtr revIDLastSave="0" documentId="13_ncr:1_{BCFF3949-9964-5D45-920B-5D79824461B2}" xr6:coauthVersionLast="47" xr6:coauthVersionMax="47" xr10:uidLastSave="{00000000-0000-0000-0000-000000000000}"/>
  <bookViews>
    <workbookView xWindow="0" yWindow="740" windowWidth="29400" windowHeight="18380" xr2:uid="{1A1872F6-839A-DC40-94B6-087356AD723C}"/>
  </bookViews>
  <sheets>
    <sheet name="まとめ" sheetId="2" r:id="rId1"/>
  </sheets>
  <definedNames>
    <definedName name="_xlnm._FilterDatabase" localSheetId="0" hidden="1">まとめ!$A$3:$AP$23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5" i="2" l="1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4" i="2"/>
  <c r="AY18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9" i="2"/>
  <c r="AY20" i="2"/>
  <c r="AY21" i="2"/>
  <c r="AY22" i="2"/>
  <c r="AY23" i="2"/>
  <c r="AY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4" i="2"/>
</calcChain>
</file>

<file path=xl/sharedStrings.xml><?xml version="1.0" encoding="utf-8"?>
<sst xmlns="http://schemas.openxmlformats.org/spreadsheetml/2006/main" count="130" uniqueCount="46">
  <si>
    <t>Num_Poly10X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</si>
  <si>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</si>
  <si>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</si>
  <si>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</si>
  <si>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</si>
  <si>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</si>
  <si>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</si>
  <si>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</si>
  <si>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</si>
  <si>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</si>
  <si>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</si>
  <si>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</si>
  <si>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</si>
  <si>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</si>
  <si>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</si>
  <si>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</si>
  <si>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</si>
  <si>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</si>
  <si>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</si>
  <si>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</si>
  <si>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</si>
  <si>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ORF</t>
    <phoneticPr fontId="1"/>
  </si>
  <si>
    <t>ORF_D</t>
    <phoneticPr fontId="1"/>
  </si>
  <si>
    <t>AminoAcid</t>
    <phoneticPr fontId="1"/>
  </si>
  <si>
    <t>PolyXmax</t>
    <phoneticPr fontId="1"/>
  </si>
  <si>
    <t>PolyX</t>
    <phoneticPr fontId="1"/>
  </si>
  <si>
    <t>6585gene</t>
    <phoneticPr fontId="1"/>
  </si>
  <si>
    <t>FracX</t>
    <phoneticPr fontId="1"/>
  </si>
  <si>
    <t>Num_Poly10X</t>
    <phoneticPr fontId="1"/>
  </si>
  <si>
    <t>5911genes</t>
    <phoneticPr fontId="1"/>
  </si>
  <si>
    <t>Shuffled_ORF</t>
    <phoneticPr fontId="1"/>
  </si>
  <si>
    <t>FracXmax</t>
    <phoneticPr fontId="1"/>
  </si>
  <si>
    <t>Num_Frac14X</t>
    <phoneticPr fontId="1"/>
  </si>
  <si>
    <t>Min</t>
  </si>
  <si>
    <t>Mean</t>
  </si>
  <si>
    <t>Max</t>
  </si>
  <si>
    <t>SD</t>
  </si>
  <si>
    <t>5911genes (10000)</t>
    <phoneticPr fontId="1"/>
  </si>
  <si>
    <t>6585gene (100)</t>
    <phoneticPr fontId="1"/>
  </si>
  <si>
    <t>5911genes (100)</t>
    <phoneticPr fontId="1"/>
  </si>
  <si>
    <t>mean-min</t>
    <phoneticPr fontId="1"/>
  </si>
  <si>
    <t>max-mean</t>
    <phoneticPr fontId="1"/>
  </si>
  <si>
    <t>最頻値</t>
    <rPh sb="0" eb="3">
      <t>サイヒ</t>
    </rPh>
    <phoneticPr fontId="1"/>
  </si>
  <si>
    <t>最頻値-min</t>
    <rPh sb="0" eb="3">
      <t>サイヒn</t>
    </rPh>
    <phoneticPr fontId="1"/>
  </si>
  <si>
    <t>max-最頻値</t>
    <rPh sb="4" eb="7">
      <t>サイヒ</t>
    </rPh>
    <phoneticPr fontId="1"/>
  </si>
  <si>
    <t>shuffled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</si>
</sst>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4E55B"/>
      <color rgb="FF5285C1"/>
      <color rgb="FF404040"/>
      <color rgb="FFEB5F65"/>
      <color rgb="FF4CB88C"/>
      <color rgb="FF818181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5911gene</a:t>
            </a:r>
            <a:br>
              <a:rPr lang="en-US" altLang="ja-JP"/>
            </a:br>
            <a:r>
              <a:rPr lang="en-US" altLang="ja-JP"/>
              <a:t>Shuffle(</a:t>
            </a:r>
            <a:r>
              <a:rPr lang="ja-JP" altLang="en-US"/>
              <a:t>最頻値</a:t>
            </a:r>
            <a:r>
              <a:rPr lang="en-US" altLang="ja-JP"/>
              <a:t>+min+max)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ORF</c:v>
          </c:tx>
          <c:spPr>
            <a:solidFill>
              <a:srgbClr val="BFBFBF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まとめ!$A$4:$A$23</c:f>
              <c:strCache>
                <c:ptCount val="20"/>
                <c:pt idx="0">
                  <c:v>D</c:v>
                </c:pt>
                <c:pt idx="1">
                  <c:v>Q</c:v>
                </c:pt>
                <c:pt idx="2">
                  <c:v>N</c:v>
                </c:pt>
                <c:pt idx="3">
                  <c:v>S</c:v>
                </c:pt>
                <c:pt idx="4">
                  <c:v>E</c:v>
                </c:pt>
                <c:pt idx="5">
                  <c:v>R</c:v>
                </c:pt>
                <c:pt idx="6">
                  <c:v>H</c:v>
                </c:pt>
                <c:pt idx="7">
                  <c:v>P</c:v>
                </c:pt>
                <c:pt idx="8">
                  <c:v>K</c:v>
                </c:pt>
                <c:pt idx="9">
                  <c:v>A</c:v>
                </c:pt>
                <c:pt idx="10">
                  <c:v>V</c:v>
                </c:pt>
                <c:pt idx="11">
                  <c:v>T</c:v>
                </c:pt>
                <c:pt idx="12">
                  <c:v>G</c:v>
                </c:pt>
                <c:pt idx="13">
                  <c:v>L</c:v>
                </c:pt>
                <c:pt idx="14">
                  <c:v>C</c:v>
                </c:pt>
                <c:pt idx="15">
                  <c:v>F</c:v>
                </c:pt>
                <c:pt idx="16">
                  <c:v>I</c:v>
                </c:pt>
                <c:pt idx="17">
                  <c:v>Y</c:v>
                </c:pt>
                <c:pt idx="18">
                  <c:v>M</c:v>
                </c:pt>
                <c:pt idx="19">
                  <c:v>W</c:v>
                </c:pt>
              </c:strCache>
            </c:strRef>
          </c:cat>
          <c:val>
            <c:numRef>
              <c:f>まとめ!$B$4:$B$23</c:f>
              <c:numCache>
                <c:formatCode>General</c:formatCode>
                <c:ptCount val="20"/>
                <c:pt idx="0">
                  <c:v>45</c:v>
                </c:pt>
                <c:pt idx="1">
                  <c:v>37</c:v>
                </c:pt>
                <c:pt idx="2">
                  <c:v>30</c:v>
                </c:pt>
                <c:pt idx="3">
                  <c:v>25</c:v>
                </c:pt>
                <c:pt idx="4">
                  <c:v>24</c:v>
                </c:pt>
                <c:pt idx="5">
                  <c:v>14</c:v>
                </c:pt>
                <c:pt idx="6">
                  <c:v>13</c:v>
                </c:pt>
                <c:pt idx="7">
                  <c:v>12</c:v>
                </c:pt>
                <c:pt idx="8">
                  <c:v>10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1C-AD45-A53F-361AA501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45891439"/>
        <c:axId val="211842016"/>
      </c:barChart>
      <c:scatterChart>
        <c:scatterStyle val="lineMarker"/>
        <c:varyColors val="0"/>
        <c:ser>
          <c:idx val="1"/>
          <c:order val="1"/>
          <c:tx>
            <c:v>Shuffled_ORF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18"/>
            <c:spPr>
              <a:solidFill>
                <a:srgbClr val="40404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まとめ!$AZ$4:$AZ$23</c:f>
                <c:numCache>
                  <c:formatCode>General</c:formatCode>
                  <c:ptCount val="20"/>
                  <c:pt idx="0">
                    <c:v>3</c:v>
                  </c:pt>
                  <c:pt idx="1">
                    <c:v>6</c:v>
                  </c:pt>
                  <c:pt idx="2">
                    <c:v>4</c:v>
                  </c:pt>
                  <c:pt idx="3">
                    <c:v>11</c:v>
                  </c:pt>
                  <c:pt idx="4">
                    <c:v>4</c:v>
                  </c:pt>
                  <c:pt idx="5">
                    <c:v>3</c:v>
                  </c:pt>
                  <c:pt idx="6">
                    <c:v>3</c:v>
                  </c:pt>
                  <c:pt idx="7">
                    <c:v>5</c:v>
                  </c:pt>
                  <c:pt idx="8">
                    <c:v>6</c:v>
                  </c:pt>
                  <c:pt idx="9">
                    <c:v>5</c:v>
                  </c:pt>
                  <c:pt idx="10">
                    <c:v>4</c:v>
                  </c:pt>
                  <c:pt idx="11">
                    <c:v>8</c:v>
                  </c:pt>
                  <c:pt idx="12">
                    <c:v>6</c:v>
                  </c:pt>
                  <c:pt idx="13">
                    <c:v>6</c:v>
                  </c:pt>
                  <c:pt idx="14">
                    <c:v>4</c:v>
                  </c:pt>
                  <c:pt idx="15">
                    <c:v>3</c:v>
                  </c:pt>
                  <c:pt idx="16">
                    <c:v>4</c:v>
                  </c:pt>
                  <c:pt idx="17">
                    <c:v>4</c:v>
                  </c:pt>
                  <c:pt idx="18">
                    <c:v>4</c:v>
                  </c:pt>
                  <c:pt idx="19">
                    <c:v>2</c:v>
                  </c:pt>
                </c:numCache>
              </c:numRef>
            </c:plus>
            <c:minus>
              <c:numRef>
                <c:f>まとめ!$AY$4:$AY$23</c:f>
                <c:numCache>
                  <c:formatCode>General</c:formatCode>
                  <c:ptCount val="20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2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  <c:pt idx="8">
                    <c:v>1</c:v>
                  </c:pt>
                  <c:pt idx="9">
                    <c:v>1</c:v>
                  </c:pt>
                  <c:pt idx="10">
                    <c:v>1</c:v>
                  </c:pt>
                  <c:pt idx="11">
                    <c:v>2</c:v>
                  </c:pt>
                  <c:pt idx="12">
                    <c:v>1</c:v>
                  </c:pt>
                  <c:pt idx="13">
                    <c:v>1</c:v>
                  </c:pt>
                  <c:pt idx="14">
                    <c:v>0</c:v>
                  </c:pt>
                  <c:pt idx="15">
                    <c:v>1</c:v>
                  </c:pt>
                  <c:pt idx="16">
                    <c:v>1</c:v>
                  </c:pt>
                  <c:pt idx="17">
                    <c:v>1</c:v>
                  </c:pt>
                  <c:pt idx="18">
                    <c:v>0</c:v>
                  </c:pt>
                  <c:pt idx="19">
                    <c:v>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yVal>
            <c:numRef>
              <c:f>まとめ!$AX$4:$AX$23</c:f>
              <c:numCache>
                <c:formatCode>General</c:formatCode>
                <c:ptCount val="2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6</c:v>
                </c:pt>
                <c:pt idx="14">
                  <c:v>3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1C-AD45-A53F-361AA5018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5891439"/>
        <c:axId val="211842016"/>
      </c:scatterChart>
      <c:catAx>
        <c:axId val="204589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842016"/>
        <c:crosses val="autoZero"/>
        <c:auto val="1"/>
        <c:lblAlgn val="ctr"/>
        <c:lblOffset val="100"/>
        <c:noMultiLvlLbl val="0"/>
      </c:catAx>
      <c:valAx>
        <c:axId val="211842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589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232734</xdr:rowOff>
    </xdr:from>
    <xdr:to>
      <xdr:col>11</xdr:col>
      <xdr:colOff>567195</xdr:colOff>
      <xdr:row>48</xdr:row>
      <xdr:rowOff>206836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542A134-6853-6543-A9E3-A0574713C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91819-BDAC-4141-9AD6-1F9B535478A5}">
  <dimension ref="A1:AZ23"/>
  <sheetViews>
    <sheetView tabSelected="1" zoomScale="89" zoomScaleNormal="170" workbookViewId="0">
      <selection activeCell="G50" sqref="G50"/>
    </sheetView>
  </sheetViews>
  <sheetFormatPr baseColWidth="10" defaultRowHeight="20"/>
  <sheetData>
    <row r="1" spans="1:52">
      <c r="A1" s="4" t="s">
        <v>21</v>
      </c>
      <c r="B1" s="6" t="s">
        <v>25</v>
      </c>
      <c r="C1" s="6"/>
      <c r="D1" s="6"/>
      <c r="E1" s="6"/>
      <c r="F1" s="7" t="s">
        <v>27</v>
      </c>
      <c r="G1" s="8"/>
      <c r="H1" s="8"/>
      <c r="I1" s="9"/>
      <c r="J1" s="4" t="s">
        <v>30</v>
      </c>
      <c r="K1" s="6" t="s">
        <v>37</v>
      </c>
      <c r="L1" s="6"/>
      <c r="M1" s="6"/>
      <c r="N1" s="6"/>
      <c r="O1" s="6"/>
      <c r="P1" s="6"/>
      <c r="Q1" s="6"/>
      <c r="R1" s="6"/>
      <c r="S1" s="6" t="s">
        <v>38</v>
      </c>
      <c r="T1" s="6"/>
      <c r="U1" s="6"/>
      <c r="V1" s="6"/>
      <c r="W1" s="6"/>
      <c r="X1" s="6"/>
      <c r="Y1" s="6"/>
      <c r="Z1" s="6"/>
      <c r="AA1" s="6" t="s">
        <v>39</v>
      </c>
      <c r="AB1" s="6"/>
      <c r="AC1" s="6"/>
      <c r="AD1" s="6"/>
      <c r="AE1" s="6"/>
      <c r="AF1" s="6"/>
      <c r="AG1" s="6"/>
      <c r="AH1" s="6"/>
      <c r="AI1" s="6" t="s">
        <v>38</v>
      </c>
      <c r="AJ1" s="6"/>
      <c r="AK1" s="6"/>
      <c r="AL1" s="6"/>
      <c r="AM1" s="6"/>
      <c r="AN1" s="6"/>
      <c r="AO1" s="6"/>
      <c r="AP1" s="6"/>
      <c r="AR1" s="1" t="s">
        <v>21</v>
      </c>
      <c r="AS1" s="2">
        <v>5911</v>
      </c>
    </row>
    <row r="2" spans="1:52">
      <c r="A2" s="5"/>
      <c r="B2" s="6" t="s">
        <v>29</v>
      </c>
      <c r="C2" s="6"/>
      <c r="D2" s="6" t="s">
        <v>26</v>
      </c>
      <c r="E2" s="6"/>
      <c r="F2" s="6" t="s">
        <v>29</v>
      </c>
      <c r="G2" s="6"/>
      <c r="H2" s="6" t="s">
        <v>26</v>
      </c>
      <c r="I2" s="6"/>
      <c r="J2" s="5"/>
      <c r="K2" s="7" t="s">
        <v>24</v>
      </c>
      <c r="L2" s="8"/>
      <c r="M2" s="8"/>
      <c r="N2" s="9"/>
      <c r="O2" s="7" t="s">
        <v>0</v>
      </c>
      <c r="P2" s="8"/>
      <c r="Q2" s="8"/>
      <c r="R2" s="9"/>
      <c r="S2" s="7" t="s">
        <v>24</v>
      </c>
      <c r="T2" s="8"/>
      <c r="U2" s="8"/>
      <c r="V2" s="9"/>
      <c r="W2" s="7" t="s">
        <v>0</v>
      </c>
      <c r="X2" s="8"/>
      <c r="Y2" s="8"/>
      <c r="Z2" s="9"/>
      <c r="AA2" s="7" t="s">
        <v>31</v>
      </c>
      <c r="AB2" s="8"/>
      <c r="AC2" s="8"/>
      <c r="AD2" s="9"/>
      <c r="AE2" s="7" t="s">
        <v>32</v>
      </c>
      <c r="AF2" s="8"/>
      <c r="AG2" s="8"/>
      <c r="AH2" s="9"/>
      <c r="AI2" s="7" t="s">
        <v>31</v>
      </c>
      <c r="AJ2" s="8"/>
      <c r="AK2" s="8"/>
      <c r="AL2" s="9"/>
      <c r="AM2" s="7" t="s">
        <v>32</v>
      </c>
      <c r="AN2" s="8"/>
      <c r="AO2" s="8"/>
      <c r="AP2" s="9"/>
      <c r="AR2" s="1" t="s">
        <v>22</v>
      </c>
      <c r="AS2" s="2">
        <v>6585</v>
      </c>
    </row>
    <row r="3" spans="1:52">
      <c r="A3" s="1" t="s">
        <v>23</v>
      </c>
      <c r="B3" s="1" t="s">
        <v>24</v>
      </c>
      <c r="C3" s="1" t="s">
        <v>28</v>
      </c>
      <c r="D3" s="1" t="s">
        <v>24</v>
      </c>
      <c r="E3" s="1" t="s">
        <v>28</v>
      </c>
      <c r="F3" s="1" t="s">
        <v>31</v>
      </c>
      <c r="G3" s="1" t="s">
        <v>32</v>
      </c>
      <c r="H3" s="1" t="s">
        <v>31</v>
      </c>
      <c r="I3" s="1" t="s">
        <v>32</v>
      </c>
      <c r="J3" s="1" t="s">
        <v>23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33</v>
      </c>
      <c r="P3" s="1" t="s">
        <v>34</v>
      </c>
      <c r="Q3" s="1" t="s">
        <v>35</v>
      </c>
      <c r="R3" s="1" t="s">
        <v>36</v>
      </c>
      <c r="S3" s="1" t="s">
        <v>33</v>
      </c>
      <c r="T3" s="1" t="s">
        <v>34</v>
      </c>
      <c r="U3" s="1" t="s">
        <v>35</v>
      </c>
      <c r="V3" s="1" t="s">
        <v>36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33</v>
      </c>
      <c r="AB3" s="1" t="s">
        <v>34</v>
      </c>
      <c r="AC3" s="1" t="s">
        <v>35</v>
      </c>
      <c r="AD3" s="1" t="s">
        <v>36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33</v>
      </c>
      <c r="AN3" s="1" t="s">
        <v>34</v>
      </c>
      <c r="AO3" s="1" t="s">
        <v>35</v>
      </c>
      <c r="AP3" s="1" t="s">
        <v>36</v>
      </c>
      <c r="AU3" t="s">
        <v>45</v>
      </c>
      <c r="AV3" t="s">
        <v>40</v>
      </c>
      <c r="AW3" t="s">
        <v>41</v>
      </c>
      <c r="AX3" t="s">
        <v>42</v>
      </c>
      <c r="AY3" t="s">
        <v>43</v>
      </c>
      <c r="AZ3" t="s">
        <v>44</v>
      </c>
    </row>
    <row r="4" spans="1:52">
      <c r="A4" s="1" t="s">
        <v>3</v>
      </c>
      <c r="B4" s="2">
        <v>45</v>
      </c>
      <c r="C4" s="2">
        <v>16</v>
      </c>
      <c r="D4" s="2">
        <v>45</v>
      </c>
      <c r="E4" s="2">
        <v>16</v>
      </c>
      <c r="F4" s="2">
        <v>20</v>
      </c>
      <c r="G4" s="2">
        <v>23</v>
      </c>
      <c r="H4" s="2">
        <v>20</v>
      </c>
      <c r="I4" s="2">
        <v>23</v>
      </c>
      <c r="J4" s="1" t="s">
        <v>3</v>
      </c>
      <c r="K4" s="2">
        <v>4</v>
      </c>
      <c r="L4" s="2">
        <v>5.1600999999999999</v>
      </c>
      <c r="M4" s="2">
        <v>8</v>
      </c>
      <c r="N4" s="2">
        <v>0.53562737016326312</v>
      </c>
      <c r="O4" s="3">
        <v>0</v>
      </c>
      <c r="P4" s="3">
        <v>0</v>
      </c>
      <c r="Q4" s="3">
        <v>0</v>
      </c>
      <c r="R4" s="3">
        <v>0</v>
      </c>
      <c r="S4" s="2">
        <v>4</v>
      </c>
      <c r="T4" s="2">
        <v>5.12</v>
      </c>
      <c r="U4" s="2">
        <v>6</v>
      </c>
      <c r="V4" s="2">
        <v>0.43298354180586041</v>
      </c>
      <c r="W4" s="2">
        <v>0</v>
      </c>
      <c r="X4" s="2">
        <v>0</v>
      </c>
      <c r="Y4" s="2">
        <v>0</v>
      </c>
      <c r="Z4" s="2">
        <v>0</v>
      </c>
      <c r="AA4" s="2">
        <v>8</v>
      </c>
      <c r="AB4" s="2">
        <v>9.1</v>
      </c>
      <c r="AC4" s="2">
        <v>11</v>
      </c>
      <c r="AD4" s="2">
        <v>0.67419986246324237</v>
      </c>
      <c r="AE4" s="2">
        <v>0</v>
      </c>
      <c r="AF4" s="2">
        <v>0</v>
      </c>
      <c r="AG4" s="2">
        <v>0</v>
      </c>
      <c r="AH4" s="2">
        <v>0</v>
      </c>
      <c r="AI4" s="2">
        <v>8</v>
      </c>
      <c r="AJ4" s="2">
        <v>9.35</v>
      </c>
      <c r="AK4" s="2">
        <v>11</v>
      </c>
      <c r="AL4" s="2">
        <v>0.55732042902271228</v>
      </c>
      <c r="AM4" s="2">
        <v>0</v>
      </c>
      <c r="AN4" s="2">
        <v>0</v>
      </c>
      <c r="AO4" s="2">
        <v>0</v>
      </c>
      <c r="AP4" s="2">
        <v>0</v>
      </c>
      <c r="AU4" t="s">
        <v>3</v>
      </c>
      <c r="AV4">
        <f t="shared" ref="AV4:AV23" si="0">L4-K4</f>
        <v>1.1600999999999999</v>
      </c>
      <c r="AW4">
        <f t="shared" ref="AW4:AW23" si="1">M4-L4</f>
        <v>2.8399000000000001</v>
      </c>
      <c r="AX4">
        <v>5</v>
      </c>
      <c r="AY4">
        <f t="shared" ref="AY4:AY23" si="2">AX4-K4</f>
        <v>1</v>
      </c>
      <c r="AZ4">
        <f t="shared" ref="AZ4:AZ23" si="3">M4-AX4</f>
        <v>3</v>
      </c>
    </row>
    <row r="5" spans="1:52">
      <c r="A5" s="1" t="s">
        <v>14</v>
      </c>
      <c r="B5" s="2">
        <v>37</v>
      </c>
      <c r="C5" s="2">
        <v>50</v>
      </c>
      <c r="D5" s="2">
        <v>37</v>
      </c>
      <c r="E5" s="2">
        <v>50</v>
      </c>
      <c r="F5" s="2">
        <v>20</v>
      </c>
      <c r="G5" s="2">
        <v>60</v>
      </c>
      <c r="H5" s="2">
        <v>20</v>
      </c>
      <c r="I5" s="2">
        <v>60</v>
      </c>
      <c r="J5" s="1" t="s">
        <v>14</v>
      </c>
      <c r="K5" s="2">
        <v>4</v>
      </c>
      <c r="L5" s="2">
        <v>5.4249000000000001</v>
      </c>
      <c r="M5" s="2">
        <v>11</v>
      </c>
      <c r="N5" s="2">
        <v>0.83296420867731102</v>
      </c>
      <c r="O5" s="3">
        <v>0</v>
      </c>
      <c r="P5" s="3">
        <v>1.1000000000000001E-3</v>
      </c>
      <c r="Q5" s="3">
        <v>1</v>
      </c>
      <c r="R5" s="3">
        <v>3.3149658972439829E-2</v>
      </c>
      <c r="S5" s="2">
        <v>4</v>
      </c>
      <c r="T5" s="2">
        <v>5.44</v>
      </c>
      <c r="U5" s="2">
        <v>8</v>
      </c>
      <c r="V5" s="2">
        <v>0.75638694602776768</v>
      </c>
      <c r="W5" s="2">
        <v>0</v>
      </c>
      <c r="X5" s="2">
        <v>0</v>
      </c>
      <c r="Y5" s="2">
        <v>0</v>
      </c>
      <c r="Z5" s="2">
        <v>0</v>
      </c>
      <c r="AA5" s="2">
        <v>10</v>
      </c>
      <c r="AB5" s="2">
        <v>11.25</v>
      </c>
      <c r="AC5" s="2">
        <v>14</v>
      </c>
      <c r="AD5" s="2">
        <v>0.92523543277406217</v>
      </c>
      <c r="AE5" s="2">
        <v>0</v>
      </c>
      <c r="AF5" s="2">
        <v>0.03</v>
      </c>
      <c r="AG5" s="2">
        <v>1</v>
      </c>
      <c r="AH5" s="2">
        <v>0.1714466079977652</v>
      </c>
      <c r="AI5" s="2">
        <v>10</v>
      </c>
      <c r="AJ5" s="2">
        <v>11.19</v>
      </c>
      <c r="AK5" s="2">
        <v>14</v>
      </c>
      <c r="AL5" s="2">
        <v>0.82504973832313333</v>
      </c>
      <c r="AM5" s="2">
        <v>0</v>
      </c>
      <c r="AN5" s="2">
        <v>0.01</v>
      </c>
      <c r="AO5" s="2">
        <v>1</v>
      </c>
      <c r="AP5" s="2">
        <v>9.9999999999999964E-2</v>
      </c>
      <c r="AU5" t="s">
        <v>14</v>
      </c>
      <c r="AV5">
        <f t="shared" si="0"/>
        <v>1.4249000000000001</v>
      </c>
      <c r="AW5">
        <f t="shared" si="1"/>
        <v>5.5750999999999999</v>
      </c>
      <c r="AX5">
        <v>5</v>
      </c>
      <c r="AY5">
        <f t="shared" si="2"/>
        <v>1</v>
      </c>
      <c r="AZ5">
        <f t="shared" si="3"/>
        <v>6</v>
      </c>
    </row>
    <row r="6" spans="1:52">
      <c r="A6" s="1" t="s">
        <v>12</v>
      </c>
      <c r="B6" s="2">
        <v>30</v>
      </c>
      <c r="C6" s="2">
        <v>26</v>
      </c>
      <c r="D6" s="2">
        <v>30</v>
      </c>
      <c r="E6" s="2">
        <v>26</v>
      </c>
      <c r="F6" s="2">
        <v>20</v>
      </c>
      <c r="G6" s="2">
        <v>39</v>
      </c>
      <c r="H6" s="2">
        <v>20</v>
      </c>
      <c r="I6" s="2">
        <v>39</v>
      </c>
      <c r="J6" s="1" t="s">
        <v>12</v>
      </c>
      <c r="K6" s="2">
        <v>4</v>
      </c>
      <c r="L6" s="2">
        <v>5.5190999999999999</v>
      </c>
      <c r="M6" s="2">
        <v>9</v>
      </c>
      <c r="N6" s="2">
        <v>0.67222048320310157</v>
      </c>
      <c r="O6" s="3">
        <v>0</v>
      </c>
      <c r="P6" s="3">
        <v>0</v>
      </c>
      <c r="Q6" s="3">
        <v>0</v>
      </c>
      <c r="R6" s="3">
        <v>0</v>
      </c>
      <c r="S6" s="2">
        <v>5</v>
      </c>
      <c r="T6" s="2">
        <v>5.51</v>
      </c>
      <c r="U6" s="2">
        <v>7</v>
      </c>
      <c r="V6" s="2">
        <v>0.68894590836034819</v>
      </c>
      <c r="W6" s="2">
        <v>0</v>
      </c>
      <c r="X6" s="2">
        <v>0</v>
      </c>
      <c r="Y6" s="2">
        <v>0</v>
      </c>
      <c r="Z6" s="2">
        <v>0</v>
      </c>
      <c r="AA6" s="2">
        <v>10</v>
      </c>
      <c r="AB6" s="2">
        <v>10.6</v>
      </c>
      <c r="AC6" s="2">
        <v>14</v>
      </c>
      <c r="AD6" s="2">
        <v>0.81649658092772648</v>
      </c>
      <c r="AE6" s="2">
        <v>0</v>
      </c>
      <c r="AF6" s="2">
        <v>0.01</v>
      </c>
      <c r="AG6" s="2">
        <v>1</v>
      </c>
      <c r="AH6" s="2">
        <v>9.9999999999999964E-2</v>
      </c>
      <c r="AI6" s="2">
        <v>9</v>
      </c>
      <c r="AJ6" s="2">
        <v>10.37</v>
      </c>
      <c r="AK6" s="2">
        <v>13</v>
      </c>
      <c r="AL6" s="2">
        <v>0.78695166896889612</v>
      </c>
      <c r="AM6" s="2">
        <v>0</v>
      </c>
      <c r="AN6" s="2">
        <v>0</v>
      </c>
      <c r="AO6" s="2">
        <v>0</v>
      </c>
      <c r="AP6" s="2">
        <v>0</v>
      </c>
      <c r="AU6" t="s">
        <v>12</v>
      </c>
      <c r="AV6">
        <f t="shared" si="0"/>
        <v>1.5190999999999999</v>
      </c>
      <c r="AW6">
        <f t="shared" si="1"/>
        <v>3.4809000000000001</v>
      </c>
      <c r="AX6">
        <v>5</v>
      </c>
      <c r="AY6">
        <f t="shared" si="2"/>
        <v>1</v>
      </c>
      <c r="AZ6">
        <f t="shared" si="3"/>
        <v>4</v>
      </c>
    </row>
    <row r="7" spans="1:52">
      <c r="A7" s="1" t="s">
        <v>16</v>
      </c>
      <c r="B7" s="2">
        <v>25</v>
      </c>
      <c r="C7" s="2">
        <v>14</v>
      </c>
      <c r="D7" s="2">
        <v>25</v>
      </c>
      <c r="E7" s="2">
        <v>16</v>
      </c>
      <c r="F7" s="2">
        <v>20</v>
      </c>
      <c r="G7" s="2">
        <v>41</v>
      </c>
      <c r="H7" s="2">
        <v>20</v>
      </c>
      <c r="I7" s="2">
        <v>44</v>
      </c>
      <c r="J7" s="1" t="s">
        <v>16</v>
      </c>
      <c r="K7" s="2">
        <v>6</v>
      </c>
      <c r="L7" s="2">
        <v>8.3335000000000008</v>
      </c>
      <c r="M7" s="2">
        <v>19</v>
      </c>
      <c r="N7" s="2">
        <v>1.414594591317911</v>
      </c>
      <c r="O7" s="3">
        <v>0</v>
      </c>
      <c r="P7" s="3">
        <v>0.1699</v>
      </c>
      <c r="Q7" s="3">
        <v>3</v>
      </c>
      <c r="R7" s="3">
        <v>0.39325494904133002</v>
      </c>
      <c r="S7" s="2">
        <v>6</v>
      </c>
      <c r="T7" s="2">
        <v>8.48</v>
      </c>
      <c r="U7" s="2">
        <v>13</v>
      </c>
      <c r="V7" s="2">
        <v>1.431817380150489</v>
      </c>
      <c r="W7" s="2">
        <v>0</v>
      </c>
      <c r="X7" s="2">
        <v>0.18</v>
      </c>
      <c r="Y7" s="2">
        <v>1</v>
      </c>
      <c r="Z7" s="2">
        <v>0.38612291966536938</v>
      </c>
      <c r="AA7" s="2">
        <v>13</v>
      </c>
      <c r="AB7" s="2">
        <v>15.2</v>
      </c>
      <c r="AC7" s="2">
        <v>19</v>
      </c>
      <c r="AD7" s="2">
        <v>1.0824588545146521</v>
      </c>
      <c r="AE7" s="2">
        <v>0</v>
      </c>
      <c r="AF7" s="2">
        <v>1.99</v>
      </c>
      <c r="AG7" s="2">
        <v>5</v>
      </c>
      <c r="AH7" s="2">
        <v>0.9586922911398158</v>
      </c>
      <c r="AI7" s="2">
        <v>13</v>
      </c>
      <c r="AJ7" s="2">
        <v>15.28</v>
      </c>
      <c r="AK7" s="2">
        <v>18</v>
      </c>
      <c r="AL7" s="2">
        <v>0.89983163408327149</v>
      </c>
      <c r="AM7" s="2">
        <v>0</v>
      </c>
      <c r="AN7" s="2">
        <v>2.09</v>
      </c>
      <c r="AO7" s="2">
        <v>5</v>
      </c>
      <c r="AP7" s="2">
        <v>1.005992148090731</v>
      </c>
      <c r="AU7" t="s">
        <v>16</v>
      </c>
      <c r="AV7">
        <f t="shared" si="0"/>
        <v>2.3335000000000008</v>
      </c>
      <c r="AW7">
        <f t="shared" si="1"/>
        <v>10.666499999999999</v>
      </c>
      <c r="AX7">
        <v>8</v>
      </c>
      <c r="AY7">
        <f t="shared" si="2"/>
        <v>2</v>
      </c>
      <c r="AZ7">
        <f t="shared" si="3"/>
        <v>11</v>
      </c>
    </row>
    <row r="8" spans="1:52">
      <c r="A8" s="1" t="s">
        <v>4</v>
      </c>
      <c r="B8" s="2">
        <v>24</v>
      </c>
      <c r="C8" s="2">
        <v>10</v>
      </c>
      <c r="D8" s="2">
        <v>24</v>
      </c>
      <c r="E8" s="2">
        <v>10</v>
      </c>
      <c r="F8" s="2">
        <v>20</v>
      </c>
      <c r="G8" s="2">
        <v>15</v>
      </c>
      <c r="H8" s="2">
        <v>20</v>
      </c>
      <c r="I8" s="2">
        <v>15</v>
      </c>
      <c r="J8" s="1" t="s">
        <v>4</v>
      </c>
      <c r="K8" s="2">
        <v>4</v>
      </c>
      <c r="L8" s="2">
        <v>5.6407999999999996</v>
      </c>
      <c r="M8" s="2">
        <v>10</v>
      </c>
      <c r="N8" s="2">
        <v>0.67484879942858933</v>
      </c>
      <c r="O8" s="3">
        <v>0</v>
      </c>
      <c r="P8" s="3">
        <v>1E-4</v>
      </c>
      <c r="Q8" s="3">
        <v>1</v>
      </c>
      <c r="R8" s="3">
        <v>1.000000000000238E-2</v>
      </c>
      <c r="S8" s="2">
        <v>5</v>
      </c>
      <c r="T8" s="2">
        <v>5.6</v>
      </c>
      <c r="U8" s="2">
        <v>7</v>
      </c>
      <c r="V8" s="2">
        <v>0.5860327153276883</v>
      </c>
      <c r="W8" s="2">
        <v>0</v>
      </c>
      <c r="X8" s="2">
        <v>0</v>
      </c>
      <c r="Y8" s="2">
        <v>0</v>
      </c>
      <c r="Z8" s="2">
        <v>0</v>
      </c>
      <c r="AA8" s="2">
        <v>9</v>
      </c>
      <c r="AB8" s="2">
        <v>10.63</v>
      </c>
      <c r="AC8" s="2">
        <v>12</v>
      </c>
      <c r="AD8" s="2">
        <v>0.6912877750103702</v>
      </c>
      <c r="AE8" s="2">
        <v>0</v>
      </c>
      <c r="AF8" s="2">
        <v>0</v>
      </c>
      <c r="AG8" s="2">
        <v>0</v>
      </c>
      <c r="AH8" s="2">
        <v>0</v>
      </c>
      <c r="AI8" s="2">
        <v>9</v>
      </c>
      <c r="AJ8" s="2">
        <v>10.6</v>
      </c>
      <c r="AK8" s="2">
        <v>13</v>
      </c>
      <c r="AL8" s="2">
        <v>0.7521014330903556</v>
      </c>
      <c r="AM8" s="2">
        <v>0</v>
      </c>
      <c r="AN8" s="2">
        <v>0</v>
      </c>
      <c r="AO8" s="2">
        <v>0</v>
      </c>
      <c r="AP8" s="2">
        <v>0</v>
      </c>
      <c r="AU8" t="s">
        <v>4</v>
      </c>
      <c r="AV8">
        <f t="shared" si="0"/>
        <v>1.6407999999999996</v>
      </c>
      <c r="AW8">
        <f t="shared" si="1"/>
        <v>4.3592000000000004</v>
      </c>
      <c r="AX8">
        <v>6</v>
      </c>
      <c r="AY8">
        <f t="shared" si="2"/>
        <v>2</v>
      </c>
      <c r="AZ8">
        <f t="shared" si="3"/>
        <v>4</v>
      </c>
    </row>
    <row r="9" spans="1:52">
      <c r="A9" s="1" t="s">
        <v>15</v>
      </c>
      <c r="B9" s="2">
        <v>14</v>
      </c>
      <c r="C9" s="2">
        <v>1</v>
      </c>
      <c r="D9" s="2">
        <v>14</v>
      </c>
      <c r="E9" s="2">
        <v>2</v>
      </c>
      <c r="F9" s="2">
        <v>15</v>
      </c>
      <c r="G9" s="2">
        <v>1</v>
      </c>
      <c r="H9" s="2">
        <v>15</v>
      </c>
      <c r="I9" s="2">
        <v>3</v>
      </c>
      <c r="J9" s="1" t="s">
        <v>15</v>
      </c>
      <c r="K9" s="2">
        <v>4</v>
      </c>
      <c r="L9" s="2">
        <v>4.7869000000000002</v>
      </c>
      <c r="M9" s="2">
        <v>8</v>
      </c>
      <c r="N9" s="2">
        <v>0.66055433024265653</v>
      </c>
      <c r="O9" s="3">
        <v>0</v>
      </c>
      <c r="P9" s="3">
        <v>0</v>
      </c>
      <c r="Q9" s="3">
        <v>0</v>
      </c>
      <c r="R9" s="3">
        <v>0</v>
      </c>
      <c r="S9" s="2">
        <v>4</v>
      </c>
      <c r="T9" s="2">
        <v>4.96</v>
      </c>
      <c r="U9" s="2">
        <v>8</v>
      </c>
      <c r="V9" s="2">
        <v>0.72362722698663362</v>
      </c>
      <c r="W9" s="2">
        <v>0</v>
      </c>
      <c r="X9" s="2">
        <v>0</v>
      </c>
      <c r="Y9" s="2">
        <v>0</v>
      </c>
      <c r="Z9" s="2">
        <v>0</v>
      </c>
      <c r="AA9" s="2">
        <v>8</v>
      </c>
      <c r="AB9" s="2">
        <v>9.43</v>
      </c>
      <c r="AC9" s="2">
        <v>11</v>
      </c>
      <c r="AD9" s="2">
        <v>0.59041160099193346</v>
      </c>
      <c r="AE9" s="2">
        <v>0</v>
      </c>
      <c r="AF9" s="2">
        <v>0</v>
      </c>
      <c r="AG9" s="2">
        <v>0</v>
      </c>
      <c r="AH9" s="2">
        <v>0</v>
      </c>
      <c r="AI9" s="2">
        <v>9</v>
      </c>
      <c r="AJ9" s="2">
        <v>10.29</v>
      </c>
      <c r="AK9" s="2">
        <v>15</v>
      </c>
      <c r="AL9" s="2">
        <v>1.027844660668453</v>
      </c>
      <c r="AM9" s="2">
        <v>0</v>
      </c>
      <c r="AN9" s="2">
        <v>0.01</v>
      </c>
      <c r="AO9" s="2">
        <v>1</v>
      </c>
      <c r="AP9" s="2">
        <v>9.9999999999999964E-2</v>
      </c>
      <c r="AU9" t="s">
        <v>15</v>
      </c>
      <c r="AV9">
        <f t="shared" si="0"/>
        <v>0.78690000000000015</v>
      </c>
      <c r="AW9">
        <f t="shared" si="1"/>
        <v>3.2130999999999998</v>
      </c>
      <c r="AX9">
        <v>5</v>
      </c>
      <c r="AY9">
        <f t="shared" si="2"/>
        <v>1</v>
      </c>
      <c r="AZ9">
        <f t="shared" si="3"/>
        <v>3</v>
      </c>
    </row>
    <row r="10" spans="1:52">
      <c r="A10" s="1" t="s">
        <v>7</v>
      </c>
      <c r="B10" s="2">
        <v>13</v>
      </c>
      <c r="C10" s="2">
        <v>1</v>
      </c>
      <c r="D10" s="2">
        <v>13</v>
      </c>
      <c r="E10" s="2">
        <v>1</v>
      </c>
      <c r="F10" s="2">
        <v>14</v>
      </c>
      <c r="G10" s="2">
        <v>1</v>
      </c>
      <c r="H10" s="2">
        <v>14</v>
      </c>
      <c r="I10" s="2">
        <v>1</v>
      </c>
      <c r="J10" s="1" t="s">
        <v>7</v>
      </c>
      <c r="K10" s="2">
        <v>3</v>
      </c>
      <c r="L10" s="2">
        <v>3.6341000000000001</v>
      </c>
      <c r="M10" s="2">
        <v>7</v>
      </c>
      <c r="N10" s="2">
        <v>0.55158645266314132</v>
      </c>
      <c r="O10" s="3">
        <v>0</v>
      </c>
      <c r="P10" s="3">
        <v>0</v>
      </c>
      <c r="Q10" s="3">
        <v>0</v>
      </c>
      <c r="R10" s="3">
        <v>0</v>
      </c>
      <c r="S10" s="2">
        <v>3</v>
      </c>
      <c r="T10" s="2">
        <v>3.83</v>
      </c>
      <c r="U10" s="2">
        <v>6</v>
      </c>
      <c r="V10" s="2">
        <v>0.63651513348192679</v>
      </c>
      <c r="W10" s="2">
        <v>0</v>
      </c>
      <c r="X10" s="2">
        <v>0</v>
      </c>
      <c r="Y10" s="2">
        <v>0</v>
      </c>
      <c r="Z10" s="2">
        <v>0</v>
      </c>
      <c r="AA10" s="2">
        <v>5</v>
      </c>
      <c r="AB10" s="2">
        <v>6.64</v>
      </c>
      <c r="AC10" s="2">
        <v>9</v>
      </c>
      <c r="AD10" s="2">
        <v>0.77224583933073765</v>
      </c>
      <c r="AE10" s="2">
        <v>0</v>
      </c>
      <c r="AF10" s="2">
        <v>0</v>
      </c>
      <c r="AG10" s="2">
        <v>0</v>
      </c>
      <c r="AH10" s="2">
        <v>0</v>
      </c>
      <c r="AI10" s="2">
        <v>6</v>
      </c>
      <c r="AJ10" s="2">
        <v>8.5299999999999994</v>
      </c>
      <c r="AK10" s="2">
        <v>13</v>
      </c>
      <c r="AL10" s="2">
        <v>1.1845384388576481</v>
      </c>
      <c r="AM10" s="2">
        <v>0</v>
      </c>
      <c r="AN10" s="2">
        <v>0</v>
      </c>
      <c r="AO10" s="2">
        <v>0</v>
      </c>
      <c r="AP10" s="2">
        <v>0</v>
      </c>
      <c r="AU10" t="s">
        <v>7</v>
      </c>
      <c r="AV10">
        <f t="shared" si="0"/>
        <v>0.63410000000000011</v>
      </c>
      <c r="AW10">
        <f t="shared" si="1"/>
        <v>3.3658999999999999</v>
      </c>
      <c r="AX10">
        <v>4</v>
      </c>
      <c r="AY10">
        <f t="shared" si="2"/>
        <v>1</v>
      </c>
      <c r="AZ10">
        <f t="shared" si="3"/>
        <v>3</v>
      </c>
    </row>
    <row r="11" spans="1:52">
      <c r="A11" s="1" t="s">
        <v>13</v>
      </c>
      <c r="B11" s="2">
        <v>12</v>
      </c>
      <c r="C11" s="2">
        <v>2</v>
      </c>
      <c r="D11" s="2">
        <v>12</v>
      </c>
      <c r="E11" s="2">
        <v>2</v>
      </c>
      <c r="F11" s="2">
        <v>13</v>
      </c>
      <c r="G11" s="2">
        <v>0</v>
      </c>
      <c r="H11" s="2">
        <v>13</v>
      </c>
      <c r="I11" s="2">
        <v>0</v>
      </c>
      <c r="J11" s="1" t="s">
        <v>13</v>
      </c>
      <c r="K11" s="2">
        <v>4</v>
      </c>
      <c r="L11" s="2">
        <v>4.8884999999999996</v>
      </c>
      <c r="M11" s="2">
        <v>10</v>
      </c>
      <c r="N11" s="2">
        <v>0.70449796432505218</v>
      </c>
      <c r="O11" s="3">
        <v>0</v>
      </c>
      <c r="P11" s="3">
        <v>1E-4</v>
      </c>
      <c r="Q11" s="3">
        <v>1</v>
      </c>
      <c r="R11" s="3">
        <v>1.0000000000002E-2</v>
      </c>
      <c r="S11" s="2">
        <v>4</v>
      </c>
      <c r="T11" s="2">
        <v>4.96</v>
      </c>
      <c r="U11" s="2">
        <v>7</v>
      </c>
      <c r="V11" s="2">
        <v>0.75102623392289403</v>
      </c>
      <c r="W11" s="2">
        <v>0</v>
      </c>
      <c r="X11" s="2">
        <v>0</v>
      </c>
      <c r="Y11" s="2">
        <v>0</v>
      </c>
      <c r="Z11" s="2">
        <v>0</v>
      </c>
      <c r="AA11" s="2">
        <v>9</v>
      </c>
      <c r="AB11" s="2">
        <v>10.16</v>
      </c>
      <c r="AC11" s="2">
        <v>13</v>
      </c>
      <c r="AD11" s="2">
        <v>0.91805679716904354</v>
      </c>
      <c r="AE11" s="2">
        <v>0</v>
      </c>
      <c r="AF11" s="2">
        <v>0</v>
      </c>
      <c r="AG11" s="2">
        <v>0</v>
      </c>
      <c r="AH11" s="2">
        <v>0</v>
      </c>
      <c r="AI11" s="2">
        <v>9</v>
      </c>
      <c r="AJ11" s="2">
        <v>10.44</v>
      </c>
      <c r="AK11" s="2">
        <v>14</v>
      </c>
      <c r="AL11" s="2">
        <v>0.93549533144292862</v>
      </c>
      <c r="AM11" s="2">
        <v>0</v>
      </c>
      <c r="AN11" s="2">
        <v>0.01</v>
      </c>
      <c r="AO11" s="2">
        <v>1</v>
      </c>
      <c r="AP11" s="2">
        <v>9.9999999999999964E-2</v>
      </c>
      <c r="AU11" t="s">
        <v>13</v>
      </c>
      <c r="AV11">
        <f t="shared" si="0"/>
        <v>0.88849999999999962</v>
      </c>
      <c r="AW11">
        <f t="shared" si="1"/>
        <v>5.1115000000000004</v>
      </c>
      <c r="AX11">
        <v>5</v>
      </c>
      <c r="AY11">
        <f t="shared" si="2"/>
        <v>1</v>
      </c>
      <c r="AZ11">
        <f t="shared" si="3"/>
        <v>5</v>
      </c>
    </row>
    <row r="12" spans="1:52">
      <c r="A12" s="1" t="s">
        <v>9</v>
      </c>
      <c r="B12" s="2">
        <v>10</v>
      </c>
      <c r="C12" s="2">
        <v>2</v>
      </c>
      <c r="D12" s="2">
        <v>10</v>
      </c>
      <c r="E12" s="2">
        <v>2</v>
      </c>
      <c r="F12" s="2">
        <v>14</v>
      </c>
      <c r="G12" s="2">
        <v>8</v>
      </c>
      <c r="H12" s="2">
        <v>14</v>
      </c>
      <c r="I12" s="2">
        <v>8</v>
      </c>
      <c r="J12" s="1" t="s">
        <v>9</v>
      </c>
      <c r="K12" s="2">
        <v>5</v>
      </c>
      <c r="L12" s="2">
        <v>5.8215000000000003</v>
      </c>
      <c r="M12" s="2">
        <v>12</v>
      </c>
      <c r="N12" s="2">
        <v>0.68358209342242326</v>
      </c>
      <c r="O12" s="3">
        <v>0</v>
      </c>
      <c r="P12" s="3">
        <v>2.9999999999999997E-4</v>
      </c>
      <c r="Q12" s="3">
        <v>1</v>
      </c>
      <c r="R12" s="3">
        <v>1.7318775765029101E-2</v>
      </c>
      <c r="S12" s="2">
        <v>5</v>
      </c>
      <c r="T12" s="2">
        <v>5.76</v>
      </c>
      <c r="U12" s="2">
        <v>8</v>
      </c>
      <c r="V12" s="2">
        <v>0.75371135594523719</v>
      </c>
      <c r="W12" s="2">
        <v>0</v>
      </c>
      <c r="X12" s="2">
        <v>0</v>
      </c>
      <c r="Y12" s="2">
        <v>0</v>
      </c>
      <c r="Z12" s="2">
        <v>0</v>
      </c>
      <c r="AA12" s="2">
        <v>9</v>
      </c>
      <c r="AB12" s="2">
        <v>10.75</v>
      </c>
      <c r="AC12" s="2">
        <v>13</v>
      </c>
      <c r="AD12" s="2">
        <v>0.68718427093627676</v>
      </c>
      <c r="AE12" s="2">
        <v>0</v>
      </c>
      <c r="AF12" s="2">
        <v>0</v>
      </c>
      <c r="AG12" s="2">
        <v>0</v>
      </c>
      <c r="AH12" s="2">
        <v>0</v>
      </c>
      <c r="AI12" s="2">
        <v>10</v>
      </c>
      <c r="AJ12" s="2">
        <v>10.82</v>
      </c>
      <c r="AK12" s="2">
        <v>13</v>
      </c>
      <c r="AL12" s="2">
        <v>0.77041245676284009</v>
      </c>
      <c r="AM12" s="2">
        <v>0</v>
      </c>
      <c r="AN12" s="2">
        <v>0</v>
      </c>
      <c r="AO12" s="2">
        <v>0</v>
      </c>
      <c r="AP12" s="2">
        <v>0</v>
      </c>
      <c r="AU12" t="s">
        <v>9</v>
      </c>
      <c r="AV12">
        <f t="shared" si="0"/>
        <v>0.82150000000000034</v>
      </c>
      <c r="AW12">
        <f t="shared" si="1"/>
        <v>6.1784999999999997</v>
      </c>
      <c r="AX12">
        <v>6</v>
      </c>
      <c r="AY12">
        <f t="shared" si="2"/>
        <v>1</v>
      </c>
      <c r="AZ12">
        <f t="shared" si="3"/>
        <v>6</v>
      </c>
    </row>
    <row r="13" spans="1:52">
      <c r="A13" s="1" t="s">
        <v>1</v>
      </c>
      <c r="B13" s="2">
        <v>9</v>
      </c>
      <c r="C13" s="2">
        <v>0</v>
      </c>
      <c r="D13" s="2">
        <v>9</v>
      </c>
      <c r="E13" s="2">
        <v>0</v>
      </c>
      <c r="F13" s="2">
        <v>15</v>
      </c>
      <c r="G13" s="2">
        <v>2</v>
      </c>
      <c r="H13" s="2">
        <v>15</v>
      </c>
      <c r="I13" s="2">
        <v>2</v>
      </c>
      <c r="J13" s="1" t="s">
        <v>1</v>
      </c>
      <c r="K13" s="2">
        <v>4</v>
      </c>
      <c r="L13" s="2">
        <v>5.3746999999999998</v>
      </c>
      <c r="M13" s="2">
        <v>10</v>
      </c>
      <c r="N13" s="2">
        <v>0.62860116444566616</v>
      </c>
      <c r="O13" s="3">
        <v>0</v>
      </c>
      <c r="P13" s="3">
        <v>1E-4</v>
      </c>
      <c r="Q13" s="3">
        <v>1</v>
      </c>
      <c r="R13" s="3">
        <v>1.000000000000042E-2</v>
      </c>
      <c r="S13" s="2">
        <v>4</v>
      </c>
      <c r="T13" s="2">
        <v>5.34</v>
      </c>
      <c r="U13" s="2">
        <v>8</v>
      </c>
      <c r="V13" s="2">
        <v>0.66999170807472641</v>
      </c>
      <c r="W13" s="2">
        <v>0</v>
      </c>
      <c r="X13" s="2">
        <v>0</v>
      </c>
      <c r="Y13" s="2">
        <v>0</v>
      </c>
      <c r="Z13" s="2">
        <v>0</v>
      </c>
      <c r="AA13" s="2">
        <v>9</v>
      </c>
      <c r="AB13" s="2">
        <v>10.14</v>
      </c>
      <c r="AC13" s="2">
        <v>13</v>
      </c>
      <c r="AD13" s="2">
        <v>0.76567788675305559</v>
      </c>
      <c r="AE13" s="2">
        <v>0</v>
      </c>
      <c r="AF13" s="2">
        <v>0</v>
      </c>
      <c r="AG13" s="2">
        <v>0</v>
      </c>
      <c r="AH13" s="2">
        <v>0</v>
      </c>
      <c r="AI13" s="2">
        <v>9</v>
      </c>
      <c r="AJ13" s="2">
        <v>10.31</v>
      </c>
      <c r="AK13" s="2">
        <v>13</v>
      </c>
      <c r="AL13" s="2">
        <v>0.8726483550177313</v>
      </c>
      <c r="AM13" s="2">
        <v>0</v>
      </c>
      <c r="AN13" s="2">
        <v>0</v>
      </c>
      <c r="AO13" s="2">
        <v>0</v>
      </c>
      <c r="AP13" s="2">
        <v>0</v>
      </c>
      <c r="AU13" t="s">
        <v>1</v>
      </c>
      <c r="AV13">
        <f t="shared" si="0"/>
        <v>1.3746999999999998</v>
      </c>
      <c r="AW13">
        <f t="shared" si="1"/>
        <v>4.6253000000000002</v>
      </c>
      <c r="AX13">
        <v>5</v>
      </c>
      <c r="AY13">
        <f t="shared" si="2"/>
        <v>1</v>
      </c>
      <c r="AZ13">
        <f t="shared" si="3"/>
        <v>5</v>
      </c>
    </row>
    <row r="14" spans="1:52">
      <c r="A14" s="1" t="s">
        <v>18</v>
      </c>
      <c r="B14" s="2">
        <v>9</v>
      </c>
      <c r="C14" s="2">
        <v>0</v>
      </c>
      <c r="D14" s="2">
        <v>9</v>
      </c>
      <c r="E14" s="2">
        <v>0</v>
      </c>
      <c r="F14" s="2">
        <v>12</v>
      </c>
      <c r="G14" s="2">
        <v>0</v>
      </c>
      <c r="H14" s="2">
        <v>14</v>
      </c>
      <c r="I14" s="2">
        <v>1</v>
      </c>
      <c r="J14" s="1" t="s">
        <v>18</v>
      </c>
      <c r="K14" s="2">
        <v>4</v>
      </c>
      <c r="L14" s="2">
        <v>5.0629999999999997</v>
      </c>
      <c r="M14" s="2">
        <v>9</v>
      </c>
      <c r="N14" s="2">
        <v>0.56662430790658935</v>
      </c>
      <c r="O14" s="3">
        <v>0</v>
      </c>
      <c r="P14" s="3">
        <v>0</v>
      </c>
      <c r="Q14" s="3">
        <v>0</v>
      </c>
      <c r="R14" s="3">
        <v>0</v>
      </c>
      <c r="S14" s="2">
        <v>4</v>
      </c>
      <c r="T14" s="2">
        <v>5.12</v>
      </c>
      <c r="U14" s="2">
        <v>7</v>
      </c>
      <c r="V14" s="2">
        <v>0.59083915670079667</v>
      </c>
      <c r="W14" s="2">
        <v>0</v>
      </c>
      <c r="X14" s="2">
        <v>0</v>
      </c>
      <c r="Y14" s="2">
        <v>0</v>
      </c>
      <c r="Z14" s="2">
        <v>0</v>
      </c>
      <c r="AA14" s="2">
        <v>8</v>
      </c>
      <c r="AB14" s="2">
        <v>9.64</v>
      </c>
      <c r="AC14" s="2">
        <v>14</v>
      </c>
      <c r="AD14" s="2">
        <v>1.059063813760134</v>
      </c>
      <c r="AE14" s="2">
        <v>0</v>
      </c>
      <c r="AF14" s="2">
        <v>0.01</v>
      </c>
      <c r="AG14" s="2">
        <v>1</v>
      </c>
      <c r="AH14" s="2">
        <v>0.1</v>
      </c>
      <c r="AI14" s="2">
        <v>8</v>
      </c>
      <c r="AJ14" s="2">
        <v>9.8000000000000007</v>
      </c>
      <c r="AK14" s="2">
        <v>13</v>
      </c>
      <c r="AL14" s="2">
        <v>0.85280286542244199</v>
      </c>
      <c r="AM14" s="2">
        <v>0</v>
      </c>
      <c r="AN14" s="2">
        <v>0</v>
      </c>
      <c r="AO14" s="2">
        <v>0</v>
      </c>
      <c r="AP14" s="2">
        <v>0</v>
      </c>
      <c r="AU14" t="s">
        <v>18</v>
      </c>
      <c r="AV14">
        <f t="shared" si="0"/>
        <v>1.0629999999999997</v>
      </c>
      <c r="AW14">
        <f t="shared" si="1"/>
        <v>3.9370000000000003</v>
      </c>
      <c r="AX14">
        <v>5</v>
      </c>
      <c r="AY14">
        <f t="shared" si="2"/>
        <v>1</v>
      </c>
      <c r="AZ14">
        <f t="shared" si="3"/>
        <v>4</v>
      </c>
    </row>
    <row r="15" spans="1:52">
      <c r="A15" s="1" t="s">
        <v>17</v>
      </c>
      <c r="B15" s="2">
        <v>8</v>
      </c>
      <c r="C15" s="2">
        <v>0</v>
      </c>
      <c r="D15" s="2">
        <v>8</v>
      </c>
      <c r="E15" s="2">
        <v>0</v>
      </c>
      <c r="F15" s="2">
        <v>15</v>
      </c>
      <c r="G15" s="2">
        <v>5</v>
      </c>
      <c r="H15" s="2">
        <v>15</v>
      </c>
      <c r="I15" s="2">
        <v>5</v>
      </c>
      <c r="J15" s="1" t="s">
        <v>17</v>
      </c>
      <c r="K15" s="2">
        <v>4</v>
      </c>
      <c r="L15" s="2">
        <v>6.5256999999999996</v>
      </c>
      <c r="M15" s="2">
        <v>14</v>
      </c>
      <c r="N15" s="2">
        <v>0.96883093124513064</v>
      </c>
      <c r="O15" s="3">
        <v>0</v>
      </c>
      <c r="P15" s="3">
        <v>8.5000000000000006E-3</v>
      </c>
      <c r="Q15" s="3">
        <v>1</v>
      </c>
      <c r="R15" s="3">
        <v>9.1807368218935079E-2</v>
      </c>
      <c r="S15" s="2">
        <v>5</v>
      </c>
      <c r="T15" s="2">
        <v>6.59</v>
      </c>
      <c r="U15" s="2">
        <v>10</v>
      </c>
      <c r="V15" s="2">
        <v>0.82993245435269003</v>
      </c>
      <c r="W15" s="2">
        <v>0</v>
      </c>
      <c r="X15" s="2">
        <v>0.01</v>
      </c>
      <c r="Y15" s="2">
        <v>1</v>
      </c>
      <c r="Z15" s="2">
        <v>9.999999999999995E-2</v>
      </c>
      <c r="AA15" s="2">
        <v>11</v>
      </c>
      <c r="AB15" s="2">
        <v>12.63</v>
      </c>
      <c r="AC15" s="2">
        <v>15</v>
      </c>
      <c r="AD15" s="2">
        <v>0.74745358965414632</v>
      </c>
      <c r="AE15" s="2">
        <v>0</v>
      </c>
      <c r="AF15" s="2">
        <v>0.08</v>
      </c>
      <c r="AG15" s="2">
        <v>1</v>
      </c>
      <c r="AH15" s="2">
        <v>0.27265992434429098</v>
      </c>
      <c r="AI15" s="2">
        <v>11</v>
      </c>
      <c r="AJ15" s="2">
        <v>12.75</v>
      </c>
      <c r="AK15" s="2">
        <v>15</v>
      </c>
      <c r="AL15" s="2">
        <v>0.80872764515651629</v>
      </c>
      <c r="AM15" s="2">
        <v>0</v>
      </c>
      <c r="AN15" s="2">
        <v>0.15</v>
      </c>
      <c r="AO15" s="2">
        <v>1</v>
      </c>
      <c r="AP15" s="2">
        <v>0.3588702812826372</v>
      </c>
      <c r="AU15" t="s">
        <v>17</v>
      </c>
      <c r="AV15">
        <f t="shared" si="0"/>
        <v>2.5256999999999996</v>
      </c>
      <c r="AW15">
        <f t="shared" si="1"/>
        <v>7.4743000000000004</v>
      </c>
      <c r="AX15">
        <v>6</v>
      </c>
      <c r="AY15">
        <f t="shared" si="2"/>
        <v>2</v>
      </c>
      <c r="AZ15">
        <f t="shared" si="3"/>
        <v>8</v>
      </c>
    </row>
    <row r="16" spans="1:52">
      <c r="A16" s="1" t="s">
        <v>6</v>
      </c>
      <c r="B16" s="2">
        <v>7</v>
      </c>
      <c r="C16" s="2">
        <v>0</v>
      </c>
      <c r="D16" s="2">
        <v>8</v>
      </c>
      <c r="E16" s="2">
        <v>0</v>
      </c>
      <c r="F16" s="2">
        <v>13</v>
      </c>
      <c r="G16" s="2">
        <v>0</v>
      </c>
      <c r="H16" s="2">
        <v>13</v>
      </c>
      <c r="I16" s="2">
        <v>0</v>
      </c>
      <c r="J16" s="1" t="s">
        <v>6</v>
      </c>
      <c r="K16" s="2">
        <v>4</v>
      </c>
      <c r="L16" s="2">
        <v>5.1966999999999999</v>
      </c>
      <c r="M16" s="2">
        <v>11</v>
      </c>
      <c r="N16" s="2">
        <v>0.65073147698994893</v>
      </c>
      <c r="O16" s="3">
        <v>0</v>
      </c>
      <c r="P16" s="3">
        <v>2.9999999999999997E-4</v>
      </c>
      <c r="Q16" s="3">
        <v>1</v>
      </c>
      <c r="R16" s="3">
        <v>1.731877576502892E-2</v>
      </c>
      <c r="S16" s="2">
        <v>4</v>
      </c>
      <c r="T16" s="2">
        <v>5.32</v>
      </c>
      <c r="U16" s="2">
        <v>8</v>
      </c>
      <c r="V16" s="2">
        <v>0.73690589835494202</v>
      </c>
      <c r="W16" s="2">
        <v>0</v>
      </c>
      <c r="X16" s="2">
        <v>0</v>
      </c>
      <c r="Y16" s="2">
        <v>0</v>
      </c>
      <c r="Z16" s="2">
        <v>0</v>
      </c>
      <c r="AA16" s="2">
        <v>9</v>
      </c>
      <c r="AB16" s="2">
        <v>10.47</v>
      </c>
      <c r="AC16" s="2">
        <v>15</v>
      </c>
      <c r="AD16" s="2">
        <v>1.0773611607567219</v>
      </c>
      <c r="AE16" s="2">
        <v>0</v>
      </c>
      <c r="AF16" s="2">
        <v>0.01</v>
      </c>
      <c r="AG16" s="2">
        <v>1</v>
      </c>
      <c r="AH16" s="2">
        <v>9.9999999999999964E-2</v>
      </c>
      <c r="AI16" s="2">
        <v>9</v>
      </c>
      <c r="AJ16" s="2">
        <v>10.62</v>
      </c>
      <c r="AK16" s="2">
        <v>13</v>
      </c>
      <c r="AL16" s="2">
        <v>0.88511826522467774</v>
      </c>
      <c r="AM16" s="2">
        <v>0</v>
      </c>
      <c r="AN16" s="2">
        <v>0</v>
      </c>
      <c r="AO16" s="2">
        <v>0</v>
      </c>
      <c r="AP16" s="2">
        <v>0</v>
      </c>
      <c r="AU16" t="s">
        <v>6</v>
      </c>
      <c r="AV16">
        <f t="shared" si="0"/>
        <v>1.1966999999999999</v>
      </c>
      <c r="AW16">
        <f t="shared" si="1"/>
        <v>5.8033000000000001</v>
      </c>
      <c r="AX16">
        <v>5</v>
      </c>
      <c r="AY16">
        <f t="shared" si="2"/>
        <v>1</v>
      </c>
      <c r="AZ16">
        <f t="shared" si="3"/>
        <v>6</v>
      </c>
    </row>
    <row r="17" spans="1:52">
      <c r="A17" s="1" t="s">
        <v>10</v>
      </c>
      <c r="B17" s="2">
        <v>6</v>
      </c>
      <c r="C17" s="2">
        <v>0</v>
      </c>
      <c r="D17" s="2">
        <v>19</v>
      </c>
      <c r="E17" s="2">
        <v>2</v>
      </c>
      <c r="F17" s="2">
        <v>14</v>
      </c>
      <c r="G17" s="2">
        <v>1</v>
      </c>
      <c r="H17" s="2">
        <v>19</v>
      </c>
      <c r="I17" s="2">
        <v>4</v>
      </c>
      <c r="J17" s="1" t="s">
        <v>10</v>
      </c>
      <c r="K17" s="2">
        <v>5</v>
      </c>
      <c r="L17" s="2">
        <v>6.2812000000000001</v>
      </c>
      <c r="M17" s="2">
        <v>12</v>
      </c>
      <c r="N17" s="2">
        <v>0.63163791577579231</v>
      </c>
      <c r="O17" s="3">
        <v>0</v>
      </c>
      <c r="P17" s="3">
        <v>2.0000000000000001E-4</v>
      </c>
      <c r="Q17" s="3">
        <v>1</v>
      </c>
      <c r="R17" s="3">
        <v>1.414142842854943E-2</v>
      </c>
      <c r="S17" s="2">
        <v>5</v>
      </c>
      <c r="T17" s="2">
        <v>6.38</v>
      </c>
      <c r="U17" s="2">
        <v>8</v>
      </c>
      <c r="V17" s="2">
        <v>0.70753520096604394</v>
      </c>
      <c r="W17" s="2">
        <v>0</v>
      </c>
      <c r="X17" s="2">
        <v>0</v>
      </c>
      <c r="Y17" s="2">
        <v>0</v>
      </c>
      <c r="Z17" s="2">
        <v>0</v>
      </c>
      <c r="AA17" s="2">
        <v>10</v>
      </c>
      <c r="AB17" s="2">
        <v>11.12</v>
      </c>
      <c r="AC17" s="2">
        <v>13</v>
      </c>
      <c r="AD17" s="2">
        <v>0.72863508761868734</v>
      </c>
      <c r="AE17" s="2">
        <v>0</v>
      </c>
      <c r="AF17" s="2">
        <v>0</v>
      </c>
      <c r="AG17" s="2">
        <v>0</v>
      </c>
      <c r="AH17" s="2">
        <v>0</v>
      </c>
      <c r="AI17" s="2">
        <v>10</v>
      </c>
      <c r="AJ17" s="2">
        <v>11.31</v>
      </c>
      <c r="AK17" s="2">
        <v>13</v>
      </c>
      <c r="AL17" s="2">
        <v>0.63077633744362038</v>
      </c>
      <c r="AM17" s="2">
        <v>0</v>
      </c>
      <c r="AN17" s="2">
        <v>0</v>
      </c>
      <c r="AO17" s="2">
        <v>0</v>
      </c>
      <c r="AP17" s="2">
        <v>0</v>
      </c>
      <c r="AU17" t="s">
        <v>10</v>
      </c>
      <c r="AV17">
        <f t="shared" si="0"/>
        <v>1.2812000000000001</v>
      </c>
      <c r="AW17">
        <f t="shared" si="1"/>
        <v>5.7187999999999999</v>
      </c>
      <c r="AX17">
        <v>6</v>
      </c>
      <c r="AY17">
        <f t="shared" si="2"/>
        <v>1</v>
      </c>
      <c r="AZ17">
        <f t="shared" si="3"/>
        <v>6</v>
      </c>
    </row>
    <row r="18" spans="1:52">
      <c r="A18" s="1" t="s">
        <v>2</v>
      </c>
      <c r="B18" s="2">
        <v>5</v>
      </c>
      <c r="C18" s="2">
        <v>0</v>
      </c>
      <c r="D18" s="2">
        <v>8</v>
      </c>
      <c r="E18" s="2">
        <v>0</v>
      </c>
      <c r="F18" s="2">
        <v>10</v>
      </c>
      <c r="G18" s="2">
        <v>0</v>
      </c>
      <c r="H18" s="2">
        <v>10</v>
      </c>
      <c r="I18" s="2">
        <v>0</v>
      </c>
      <c r="J18" s="1" t="s">
        <v>2</v>
      </c>
      <c r="K18" s="2">
        <v>3</v>
      </c>
      <c r="L18" s="2">
        <v>3.5041000000000002</v>
      </c>
      <c r="M18" s="2">
        <v>7</v>
      </c>
      <c r="N18" s="2">
        <v>0.61042645097113168</v>
      </c>
      <c r="O18" s="3">
        <v>0</v>
      </c>
      <c r="P18" s="3">
        <v>0</v>
      </c>
      <c r="Q18" s="3">
        <v>0</v>
      </c>
      <c r="R18" s="3">
        <v>0</v>
      </c>
      <c r="S18" s="2">
        <v>3</v>
      </c>
      <c r="T18" s="2">
        <v>3.69</v>
      </c>
      <c r="U18" s="2">
        <v>6</v>
      </c>
      <c r="V18" s="2">
        <v>0.67711509249524815</v>
      </c>
      <c r="W18" s="2">
        <v>0</v>
      </c>
      <c r="X18" s="2">
        <v>0</v>
      </c>
      <c r="Y18" s="2">
        <v>0</v>
      </c>
      <c r="Z18" s="2">
        <v>0</v>
      </c>
      <c r="AA18" s="2">
        <v>6</v>
      </c>
      <c r="AB18" s="2">
        <v>7.61</v>
      </c>
      <c r="AC18" s="2">
        <v>11</v>
      </c>
      <c r="AD18" s="2">
        <v>0.81519657417426317</v>
      </c>
      <c r="AE18" s="2">
        <v>0</v>
      </c>
      <c r="AF18" s="2">
        <v>0</v>
      </c>
      <c r="AG18" s="2">
        <v>0</v>
      </c>
      <c r="AH18" s="2">
        <v>0</v>
      </c>
      <c r="AI18" s="2">
        <v>6</v>
      </c>
      <c r="AJ18" s="2">
        <v>7.46</v>
      </c>
      <c r="AK18" s="2">
        <v>9</v>
      </c>
      <c r="AL18" s="2">
        <v>0.75772119816025607</v>
      </c>
      <c r="AM18" s="2">
        <v>0</v>
      </c>
      <c r="AN18" s="2">
        <v>0</v>
      </c>
      <c r="AO18" s="2">
        <v>0</v>
      </c>
      <c r="AP18" s="2">
        <v>0</v>
      </c>
      <c r="AU18" t="s">
        <v>2</v>
      </c>
      <c r="AV18">
        <f t="shared" si="0"/>
        <v>0.50410000000000021</v>
      </c>
      <c r="AW18">
        <f t="shared" si="1"/>
        <v>3.4958999999999998</v>
      </c>
      <c r="AX18">
        <v>3</v>
      </c>
      <c r="AY18">
        <f t="shared" si="2"/>
        <v>0</v>
      </c>
      <c r="AZ18">
        <f t="shared" si="3"/>
        <v>4</v>
      </c>
    </row>
    <row r="19" spans="1:52">
      <c r="A19" s="1" t="s">
        <v>5</v>
      </c>
      <c r="B19" s="2">
        <v>5</v>
      </c>
      <c r="C19" s="2">
        <v>0</v>
      </c>
      <c r="D19" s="2">
        <v>10</v>
      </c>
      <c r="E19" s="2">
        <v>1</v>
      </c>
      <c r="F19" s="2">
        <v>10</v>
      </c>
      <c r="G19" s="2">
        <v>0</v>
      </c>
      <c r="H19" s="2">
        <v>14</v>
      </c>
      <c r="I19" s="2">
        <v>1</v>
      </c>
      <c r="J19" s="1" t="s">
        <v>5</v>
      </c>
      <c r="K19" s="2">
        <v>4</v>
      </c>
      <c r="L19" s="2">
        <v>4.7153</v>
      </c>
      <c r="M19" s="2">
        <v>8</v>
      </c>
      <c r="N19" s="2">
        <v>0.59789769874606347</v>
      </c>
      <c r="O19" s="3">
        <v>0</v>
      </c>
      <c r="P19" s="3">
        <v>0</v>
      </c>
      <c r="Q19" s="3">
        <v>0</v>
      </c>
      <c r="R19" s="3">
        <v>0</v>
      </c>
      <c r="S19" s="2">
        <v>4</v>
      </c>
      <c r="T19" s="2">
        <v>4.97</v>
      </c>
      <c r="U19" s="2">
        <v>7</v>
      </c>
      <c r="V19" s="2">
        <v>0.59382342714502534</v>
      </c>
      <c r="W19" s="2">
        <v>0</v>
      </c>
      <c r="X19" s="2">
        <v>0</v>
      </c>
      <c r="Y19" s="2">
        <v>0</v>
      </c>
      <c r="Z19" s="2">
        <v>0</v>
      </c>
      <c r="AA19" s="2">
        <v>8</v>
      </c>
      <c r="AB19" s="2">
        <v>8.77</v>
      </c>
      <c r="AC19" s="2">
        <v>11</v>
      </c>
      <c r="AD19" s="2">
        <v>0.63333333333333386</v>
      </c>
      <c r="AE19" s="2">
        <v>0</v>
      </c>
      <c r="AF19" s="2">
        <v>0</v>
      </c>
      <c r="AG19" s="2">
        <v>0</v>
      </c>
      <c r="AH19" s="2">
        <v>0</v>
      </c>
      <c r="AI19" s="2">
        <v>8</v>
      </c>
      <c r="AJ19" s="2">
        <v>8.9700000000000006</v>
      </c>
      <c r="AK19" s="2">
        <v>11</v>
      </c>
      <c r="AL19" s="2">
        <v>0.65835730681321059</v>
      </c>
      <c r="AM19" s="2">
        <v>0</v>
      </c>
      <c r="AN19" s="2">
        <v>0</v>
      </c>
      <c r="AO19" s="2">
        <v>0</v>
      </c>
      <c r="AP19" s="2">
        <v>0</v>
      </c>
      <c r="AU19" t="s">
        <v>5</v>
      </c>
      <c r="AV19">
        <f t="shared" si="0"/>
        <v>0.71530000000000005</v>
      </c>
      <c r="AW19">
        <f t="shared" si="1"/>
        <v>3.2847</v>
      </c>
      <c r="AX19">
        <v>5</v>
      </c>
      <c r="AY19">
        <f t="shared" si="2"/>
        <v>1</v>
      </c>
      <c r="AZ19">
        <f t="shared" si="3"/>
        <v>3</v>
      </c>
    </row>
    <row r="20" spans="1:52">
      <c r="A20" s="1" t="s">
        <v>8</v>
      </c>
      <c r="B20" s="2">
        <v>5</v>
      </c>
      <c r="C20" s="2">
        <v>0</v>
      </c>
      <c r="D20" s="2">
        <v>5</v>
      </c>
      <c r="E20" s="2">
        <v>0</v>
      </c>
      <c r="F20" s="2">
        <v>12</v>
      </c>
      <c r="G20" s="2">
        <v>0</v>
      </c>
      <c r="H20" s="2">
        <v>12</v>
      </c>
      <c r="I20" s="2">
        <v>0</v>
      </c>
      <c r="J20" s="1" t="s">
        <v>8</v>
      </c>
      <c r="K20" s="2">
        <v>4</v>
      </c>
      <c r="L20" s="2">
        <v>5.2784000000000004</v>
      </c>
      <c r="M20" s="2">
        <v>9</v>
      </c>
      <c r="N20" s="2">
        <v>0.53583780401837688</v>
      </c>
      <c r="O20" s="3">
        <v>0</v>
      </c>
      <c r="P20" s="3">
        <v>0</v>
      </c>
      <c r="Q20" s="3">
        <v>0</v>
      </c>
      <c r="R20" s="3">
        <v>0</v>
      </c>
      <c r="S20" s="2">
        <v>4</v>
      </c>
      <c r="T20" s="2">
        <v>5.33</v>
      </c>
      <c r="U20" s="2">
        <v>7</v>
      </c>
      <c r="V20" s="2">
        <v>0.58697994390392405</v>
      </c>
      <c r="W20" s="2">
        <v>0</v>
      </c>
      <c r="X20" s="2">
        <v>0</v>
      </c>
      <c r="Y20" s="2">
        <v>0</v>
      </c>
      <c r="Z20" s="2">
        <v>0</v>
      </c>
      <c r="AA20" s="2">
        <v>8</v>
      </c>
      <c r="AB20" s="2">
        <v>9.44</v>
      </c>
      <c r="AC20" s="2">
        <v>11</v>
      </c>
      <c r="AD20" s="2">
        <v>0.65628276733971191</v>
      </c>
      <c r="AE20" s="2">
        <v>0</v>
      </c>
      <c r="AF20" s="2">
        <v>0</v>
      </c>
      <c r="AG20" s="2">
        <v>0</v>
      </c>
      <c r="AH20" s="2">
        <v>0</v>
      </c>
      <c r="AI20" s="2">
        <v>9</v>
      </c>
      <c r="AJ20" s="2">
        <v>9.44</v>
      </c>
      <c r="AK20" s="2">
        <v>11</v>
      </c>
      <c r="AL20" s="2">
        <v>0.57419245005221908</v>
      </c>
      <c r="AM20" s="2">
        <v>0</v>
      </c>
      <c r="AN20" s="2">
        <v>0</v>
      </c>
      <c r="AO20" s="2">
        <v>0</v>
      </c>
      <c r="AP20" s="2">
        <v>0</v>
      </c>
      <c r="AU20" t="s">
        <v>8</v>
      </c>
      <c r="AV20">
        <f t="shared" si="0"/>
        <v>1.2784000000000004</v>
      </c>
      <c r="AW20">
        <f t="shared" si="1"/>
        <v>3.7215999999999996</v>
      </c>
      <c r="AX20">
        <v>5</v>
      </c>
      <c r="AY20">
        <f t="shared" si="2"/>
        <v>1</v>
      </c>
      <c r="AZ20">
        <f t="shared" si="3"/>
        <v>4</v>
      </c>
    </row>
    <row r="21" spans="1:52">
      <c r="A21" s="1" t="s">
        <v>20</v>
      </c>
      <c r="B21" s="2">
        <v>5</v>
      </c>
      <c r="C21" s="2">
        <v>0</v>
      </c>
      <c r="D21" s="2">
        <v>12</v>
      </c>
      <c r="E21" s="2">
        <v>1</v>
      </c>
      <c r="F21" s="2">
        <v>10</v>
      </c>
      <c r="G21" s="2">
        <v>0</v>
      </c>
      <c r="H21" s="2">
        <v>13</v>
      </c>
      <c r="I21" s="2">
        <v>0</v>
      </c>
      <c r="J21" s="1" t="s">
        <v>20</v>
      </c>
      <c r="K21" s="2">
        <v>3</v>
      </c>
      <c r="L21" s="2">
        <v>4.1879</v>
      </c>
      <c r="M21" s="2">
        <v>8</v>
      </c>
      <c r="N21" s="2">
        <v>0.439332324430044</v>
      </c>
      <c r="O21" s="3">
        <v>0</v>
      </c>
      <c r="P21" s="3">
        <v>0</v>
      </c>
      <c r="Q21" s="3">
        <v>0</v>
      </c>
      <c r="R21" s="3">
        <v>0</v>
      </c>
      <c r="S21" s="2">
        <v>4</v>
      </c>
      <c r="T21" s="2">
        <v>4.2</v>
      </c>
      <c r="U21" s="2">
        <v>6</v>
      </c>
      <c r="V21" s="2">
        <v>0.42640143271122122</v>
      </c>
      <c r="W21" s="2">
        <v>0</v>
      </c>
      <c r="X21" s="2">
        <v>0</v>
      </c>
      <c r="Y21" s="2">
        <v>0</v>
      </c>
      <c r="Z21" s="2">
        <v>0</v>
      </c>
      <c r="AA21" s="2">
        <v>7</v>
      </c>
      <c r="AB21" s="2">
        <v>7.42</v>
      </c>
      <c r="AC21" s="2">
        <v>9</v>
      </c>
      <c r="AD21" s="2">
        <v>0.51600642075717096</v>
      </c>
      <c r="AE21" s="2">
        <v>0</v>
      </c>
      <c r="AF21" s="2">
        <v>0</v>
      </c>
      <c r="AG21" s="2">
        <v>0</v>
      </c>
      <c r="AH21" s="2">
        <v>0</v>
      </c>
      <c r="AI21" s="2">
        <v>7</v>
      </c>
      <c r="AJ21" s="2">
        <v>7.58</v>
      </c>
      <c r="AK21" s="2">
        <v>9</v>
      </c>
      <c r="AL21" s="2">
        <v>0.58912707209116377</v>
      </c>
      <c r="AM21" s="2">
        <v>0</v>
      </c>
      <c r="AN21" s="2">
        <v>0</v>
      </c>
      <c r="AO21" s="2">
        <v>0</v>
      </c>
      <c r="AP21" s="2">
        <v>0</v>
      </c>
      <c r="AU21" t="s">
        <v>20</v>
      </c>
      <c r="AV21">
        <f t="shared" si="0"/>
        <v>1.1879</v>
      </c>
      <c r="AW21">
        <f t="shared" si="1"/>
        <v>3.8121</v>
      </c>
      <c r="AX21">
        <v>4</v>
      </c>
      <c r="AY21">
        <f t="shared" si="2"/>
        <v>1</v>
      </c>
      <c r="AZ21">
        <f t="shared" si="3"/>
        <v>4</v>
      </c>
    </row>
    <row r="22" spans="1:52">
      <c r="A22" s="1" t="s">
        <v>11</v>
      </c>
      <c r="B22" s="2">
        <v>4</v>
      </c>
      <c r="C22" s="2">
        <v>0</v>
      </c>
      <c r="D22" s="2">
        <v>4</v>
      </c>
      <c r="E22" s="2">
        <v>0</v>
      </c>
      <c r="F22" s="2">
        <v>10</v>
      </c>
      <c r="G22" s="2">
        <v>0</v>
      </c>
      <c r="H22" s="2">
        <v>10</v>
      </c>
      <c r="I22" s="2">
        <v>0</v>
      </c>
      <c r="J22" s="1" t="s">
        <v>11</v>
      </c>
      <c r="K22" s="2">
        <v>3</v>
      </c>
      <c r="L22" s="2">
        <v>3.5215000000000001</v>
      </c>
      <c r="M22" s="2">
        <v>7</v>
      </c>
      <c r="N22" s="2">
        <v>0.54255615996748763</v>
      </c>
      <c r="O22" s="3">
        <v>0</v>
      </c>
      <c r="P22" s="3">
        <v>0</v>
      </c>
      <c r="Q22" s="3">
        <v>0</v>
      </c>
      <c r="R22" s="3">
        <v>0</v>
      </c>
      <c r="S22" s="2">
        <v>3</v>
      </c>
      <c r="T22" s="2">
        <v>3.55</v>
      </c>
      <c r="U22" s="2">
        <v>5</v>
      </c>
      <c r="V22" s="2">
        <v>0.53889149223572008</v>
      </c>
      <c r="W22" s="2">
        <v>0</v>
      </c>
      <c r="X22" s="2">
        <v>0</v>
      </c>
      <c r="Y22" s="2">
        <v>0</v>
      </c>
      <c r="Z22" s="2">
        <v>0</v>
      </c>
      <c r="AA22" s="2">
        <v>6</v>
      </c>
      <c r="AB22" s="2">
        <v>6.45</v>
      </c>
      <c r="AC22" s="2">
        <v>8</v>
      </c>
      <c r="AD22" s="2">
        <v>0.59246105442476216</v>
      </c>
      <c r="AE22" s="2">
        <v>0</v>
      </c>
      <c r="AF22" s="2">
        <v>0</v>
      </c>
      <c r="AG22" s="2">
        <v>0</v>
      </c>
      <c r="AH22" s="2">
        <v>0</v>
      </c>
      <c r="AI22" s="2">
        <v>6</v>
      </c>
      <c r="AJ22" s="2">
        <v>7.03</v>
      </c>
      <c r="AK22" s="2">
        <v>10</v>
      </c>
      <c r="AL22" s="2">
        <v>0.9040313751594734</v>
      </c>
      <c r="AM22" s="2">
        <v>0</v>
      </c>
      <c r="AN22" s="2">
        <v>0</v>
      </c>
      <c r="AO22" s="2">
        <v>0</v>
      </c>
      <c r="AP22" s="2">
        <v>0</v>
      </c>
      <c r="AU22" t="s">
        <v>11</v>
      </c>
      <c r="AV22">
        <f t="shared" si="0"/>
        <v>0.52150000000000007</v>
      </c>
      <c r="AW22">
        <f t="shared" si="1"/>
        <v>3.4784999999999999</v>
      </c>
      <c r="AX22">
        <v>3</v>
      </c>
      <c r="AY22">
        <f t="shared" si="2"/>
        <v>0</v>
      </c>
      <c r="AZ22">
        <f t="shared" si="3"/>
        <v>4</v>
      </c>
    </row>
    <row r="23" spans="1:52">
      <c r="A23" s="1" t="s">
        <v>19</v>
      </c>
      <c r="B23" s="2">
        <v>3</v>
      </c>
      <c r="C23" s="2">
        <v>0</v>
      </c>
      <c r="D23" s="2">
        <v>3</v>
      </c>
      <c r="E23" s="2">
        <v>0</v>
      </c>
      <c r="F23" s="2">
        <v>6</v>
      </c>
      <c r="G23" s="2">
        <v>0</v>
      </c>
      <c r="H23" s="2">
        <v>6</v>
      </c>
      <c r="I23" s="2">
        <v>0</v>
      </c>
      <c r="J23" s="1" t="s">
        <v>19</v>
      </c>
      <c r="K23" s="2">
        <v>2</v>
      </c>
      <c r="L23" s="2">
        <v>3.1048</v>
      </c>
      <c r="M23" s="2">
        <v>5</v>
      </c>
      <c r="N23" s="2">
        <v>0.31879009192929503</v>
      </c>
      <c r="O23" s="3">
        <v>0</v>
      </c>
      <c r="P23" s="3">
        <v>0</v>
      </c>
      <c r="Q23" s="3">
        <v>0</v>
      </c>
      <c r="R23" s="3">
        <v>0</v>
      </c>
      <c r="S23" s="2">
        <v>3</v>
      </c>
      <c r="T23" s="2">
        <v>3.11</v>
      </c>
      <c r="U23" s="2">
        <v>5</v>
      </c>
      <c r="V23" s="2">
        <v>0.34509550720186027</v>
      </c>
      <c r="W23" s="2">
        <v>0</v>
      </c>
      <c r="X23" s="2">
        <v>0</v>
      </c>
      <c r="Y23" s="2">
        <v>0</v>
      </c>
      <c r="Z23" s="2">
        <v>0</v>
      </c>
      <c r="AA23" s="2">
        <v>4</v>
      </c>
      <c r="AB23" s="2">
        <v>5.42</v>
      </c>
      <c r="AC23" s="2">
        <v>7</v>
      </c>
      <c r="AD23" s="2">
        <v>0.58912707209116377</v>
      </c>
      <c r="AE23" s="2">
        <v>0</v>
      </c>
      <c r="AF23" s="2">
        <v>0</v>
      </c>
      <c r="AG23" s="2">
        <v>0</v>
      </c>
      <c r="AH23" s="2">
        <v>0</v>
      </c>
      <c r="AI23" s="2">
        <v>5</v>
      </c>
      <c r="AJ23" s="2">
        <v>5.49</v>
      </c>
      <c r="AK23" s="2">
        <v>7</v>
      </c>
      <c r="AL23" s="2">
        <v>0.61125801723688189</v>
      </c>
      <c r="AM23" s="2">
        <v>0</v>
      </c>
      <c r="AN23" s="2">
        <v>0</v>
      </c>
      <c r="AO23" s="2">
        <v>0</v>
      </c>
      <c r="AP23" s="2">
        <v>0</v>
      </c>
      <c r="AU23" t="s">
        <v>19</v>
      </c>
      <c r="AV23">
        <f t="shared" si="0"/>
        <v>1.1048</v>
      </c>
      <c r="AW23">
        <f t="shared" si="1"/>
        <v>1.8952</v>
      </c>
      <c r="AX23">
        <v>3</v>
      </c>
      <c r="AY23">
        <f t="shared" si="2"/>
        <v>1</v>
      </c>
      <c r="AZ23">
        <f t="shared" si="3"/>
        <v>2</v>
      </c>
    </row>
  </sheetData>
  <autoFilter ref="A3:AP23" xr:uid="{05C91819-BDAC-4141-9AD6-1F9B535478A5}">
    <sortState xmlns:xlrd2="http://schemas.microsoft.com/office/spreadsheetml/2017/richdata2" ref="A4:AP23">
      <sortCondition descending="1" ref="B3:B23"/>
    </sortState>
  </autoFilter>
  <mergeCells count="20">
    <mergeCell ref="J1:J2"/>
    <mergeCell ref="W2:Z2"/>
    <mergeCell ref="S1:Z1"/>
    <mergeCell ref="AA1:AH1"/>
    <mergeCell ref="AI1:AP1"/>
    <mergeCell ref="AA2:AD2"/>
    <mergeCell ref="AE2:AH2"/>
    <mergeCell ref="AI2:AL2"/>
    <mergeCell ref="AM2:AP2"/>
    <mergeCell ref="K1:R1"/>
    <mergeCell ref="K2:N2"/>
    <mergeCell ref="O2:R2"/>
    <mergeCell ref="S2:V2"/>
    <mergeCell ref="A1:A2"/>
    <mergeCell ref="B1:E1"/>
    <mergeCell ref="F1:I1"/>
    <mergeCell ref="B2:C2"/>
    <mergeCell ref="D2:E2"/>
    <mergeCell ref="F2:G2"/>
    <mergeCell ref="H2:I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まとめ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2024-10-10T14:24:07Z</dcterms:created>
  <dcterms:modified xsi:type="dcterms:W3CDTF">2025-12-19T06:37:08Z</dcterms:modified>
</cp:coreProperties>
</file>