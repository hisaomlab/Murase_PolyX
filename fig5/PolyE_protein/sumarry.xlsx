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github/fig5/PolyE_protein/"/>
    </mc:Choice>
  </mc:AlternateContent>
  <xr:revisionPtr revIDLastSave="0" documentId="13_ncr:1_{3C3C32FA-36CB-264C-8880-D43331038A18}" xr6:coauthVersionLast="47" xr6:coauthVersionMax="47" xr10:uidLastSave="{00000000-0000-0000-0000-000000000000}"/>
  <bookViews>
    <workbookView xWindow="0" yWindow="740" windowWidth="29400" windowHeight="18380" activeTab="1" xr2:uid="{07293901-DA13-3546-8882-B2B7F96E04CC}"/>
  </bookViews>
  <sheets>
    <sheet name="raw" sheetId="1" r:id="rId1"/>
    <sheet name="sumar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2" l="1"/>
  <c r="J37" i="2"/>
  <c r="I37" i="2"/>
  <c r="H37" i="2"/>
  <c r="G37" i="2"/>
  <c r="F37" i="2"/>
  <c r="E37" i="2"/>
  <c r="D37" i="2"/>
  <c r="C37" i="2"/>
  <c r="K36" i="2"/>
  <c r="J36" i="2"/>
  <c r="I36" i="2"/>
  <c r="H36" i="2"/>
  <c r="G36" i="2"/>
  <c r="F36" i="2"/>
  <c r="D36" i="2"/>
  <c r="E36" i="2"/>
  <c r="C36" i="2"/>
  <c r="K27" i="2"/>
  <c r="K25" i="2"/>
  <c r="H33" i="2" s="1"/>
  <c r="E33" i="2"/>
  <c r="D25" i="2"/>
  <c r="D24" i="2"/>
  <c r="C32" i="2" s="1"/>
  <c r="J28" i="2"/>
  <c r="J27" i="2"/>
  <c r="H28" i="2"/>
  <c r="D33" i="2" s="1"/>
  <c r="H27" i="2"/>
  <c r="G28" i="2"/>
  <c r="G27" i="2"/>
  <c r="G24" i="2"/>
  <c r="E28" i="2"/>
  <c r="E27" i="2"/>
  <c r="E26" i="2"/>
  <c r="D28" i="2"/>
  <c r="D27" i="2"/>
  <c r="D26" i="2"/>
  <c r="H31" i="2"/>
  <c r="G31" i="2"/>
  <c r="F31" i="2"/>
  <c r="E31" i="2"/>
  <c r="D31" i="2"/>
  <c r="C31" i="2"/>
  <c r="H25" i="2"/>
  <c r="J26" i="2"/>
  <c r="J25" i="2"/>
  <c r="H26" i="2"/>
  <c r="G26" i="2"/>
  <c r="G25" i="2"/>
  <c r="D32" i="2" s="1"/>
  <c r="E25" i="2"/>
  <c r="J24" i="2"/>
  <c r="H24" i="2"/>
  <c r="E24" i="2"/>
  <c r="F32" i="2" l="1"/>
  <c r="E32" i="2"/>
  <c r="H32" i="2"/>
  <c r="G33" i="2"/>
  <c r="C33" i="2"/>
  <c r="G32" i="2"/>
  <c r="F33" i="2"/>
</calcChain>
</file>

<file path=xl/sharedStrings.xml><?xml version="1.0" encoding="utf-8"?>
<sst xmlns="http://schemas.openxmlformats.org/spreadsheetml/2006/main" count="1359" uniqueCount="37">
  <si>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</si>
  <si>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</si>
  <si>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</si>
  <si>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</si>
  <si>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</si>
  <si>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</si>
  <si>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</si>
  <si>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</si>
  <si>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Lane 9</t>
  </si>
  <si>
    <t>Band No</t>
  </si>
  <si>
    <t>Volume</t>
  </si>
  <si>
    <t>Vol+BkGnd</t>
  </si>
  <si>
    <t>Calib Vol(ug)</t>
  </si>
  <si>
    <t>Band %</t>
  </si>
  <si>
    <t>MW (kd)</t>
  </si>
  <si>
    <t>Rf</t>
  </si>
  <si>
    <t>-</t>
  </si>
  <si>
    <t>Φ</t>
    <phoneticPr fontId="1"/>
  </si>
  <si>
    <t>Δ</t>
    <phoneticPr fontId="1"/>
  </si>
  <si>
    <t>E</t>
    <phoneticPr fontId="1"/>
  </si>
  <si>
    <t>All</t>
    <phoneticPr fontId="1"/>
  </si>
  <si>
    <t>Sol</t>
    <phoneticPr fontId="1"/>
  </si>
  <si>
    <t>Insol</t>
    <phoneticPr fontId="1"/>
  </si>
  <si>
    <t>PolyE</t>
    <phoneticPr fontId="1"/>
  </si>
  <si>
    <t>EGFP</t>
    <phoneticPr fontId="1"/>
  </si>
  <si>
    <t>all</t>
    <phoneticPr fontId="1"/>
  </si>
  <si>
    <t>n1</t>
    <phoneticPr fontId="1"/>
  </si>
  <si>
    <t>n2</t>
    <phoneticPr fontId="1"/>
  </si>
  <si>
    <t>n3</t>
    <phoneticPr fontId="1"/>
  </si>
  <si>
    <t>All_sd</t>
    <phoneticPr fontId="1"/>
  </si>
  <si>
    <t>Sol_sd</t>
    <phoneticPr fontId="1"/>
  </si>
  <si>
    <t>Insol_sd</t>
    <phoneticPr fontId="1"/>
  </si>
  <si>
    <t>Vector</t>
    <phoneticPr fontId="1"/>
  </si>
  <si>
    <t>n4</t>
    <phoneticPr fontId="1"/>
  </si>
  <si>
    <t>n5</t>
    <phoneticPr fontId="1"/>
  </si>
  <si>
    <t>mean</t>
    <phoneticPr fontId="1"/>
  </si>
  <si>
    <t>sd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</si>
</sst>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sumarry!$F$32:$F$33</c:f>
                <c:numCache>
                  <c:formatCode>General</c:formatCode>
                  <c:ptCount val="2"/>
                  <c:pt idx="0">
                    <c:v>3.2889492264380054</c:v>
                  </c:pt>
                  <c:pt idx="1">
                    <c:v>2.3145177007047928</c:v>
                  </c:pt>
                </c:numCache>
              </c:numRef>
            </c:plus>
            <c:minus>
              <c:numRef>
                <c:f>sumarry!$F$32:$F$33</c:f>
                <c:numCache>
                  <c:formatCode>General</c:formatCode>
                  <c:ptCount val="2"/>
                  <c:pt idx="0">
                    <c:v>3.2889492264380054</c:v>
                  </c:pt>
                  <c:pt idx="1">
                    <c:v>2.3145177007047928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sumarry!$B$32:$B$33</c:f>
              <c:strCache>
                <c:ptCount val="2"/>
                <c:pt idx="0">
                  <c:v>EGFP</c:v>
                </c:pt>
                <c:pt idx="1">
                  <c:v>PolyE</c:v>
                </c:pt>
              </c:strCache>
            </c:strRef>
          </c:cat>
          <c:val>
            <c:numRef>
              <c:f>sumarry!$C$32:$C$33</c:f>
              <c:numCache>
                <c:formatCode>General</c:formatCode>
                <c:ptCount val="2"/>
                <c:pt idx="0">
                  <c:v>19.306074115969679</c:v>
                </c:pt>
                <c:pt idx="1">
                  <c:v>16.656545114304457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A-0848-8164-BA190B8F6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16792095"/>
        <c:axId val="516793807"/>
      </c:barChart>
      <c:scatterChart>
        <c:scatterStyle val="lineMarker"/>
        <c:varyColors val="0"/>
        <c:ser>
          <c:idx val="1"/>
          <c:order val="1"/>
          <c:tx>
            <c:v>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sumarry!$D$24:$E$24</c:f>
              <c:numCache>
                <c:formatCode>General</c:formatCode>
                <c:ptCount val="2"/>
                <c:pt idx="0">
                  <c:v>16.797369982018395</c:v>
                </c:pt>
                <c:pt idx="1">
                  <c:v>14.753965456025183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7A-0848-8164-BA190B8F6627}"/>
            </c:ext>
          </c:extLst>
        </c:ser>
        <c:ser>
          <c:idx val="2"/>
          <c:order val="2"/>
          <c:tx>
            <c:v>n2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sumarry!$D$25:$E$25</c:f>
              <c:numCache>
                <c:formatCode>General</c:formatCode>
                <c:ptCount val="2"/>
                <c:pt idx="0">
                  <c:v>21.339511050716474</c:v>
                </c:pt>
                <c:pt idx="1">
                  <c:v>19.31080650618491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7A-0848-8164-BA190B8F6627}"/>
            </c:ext>
          </c:extLst>
        </c:ser>
        <c:ser>
          <c:idx val="3"/>
          <c:order val="3"/>
          <c:tx>
            <c:v>n3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sumarry!$D$26:$E$26</c:f>
              <c:numCache>
                <c:formatCode>General</c:formatCode>
                <c:ptCount val="2"/>
                <c:pt idx="0">
                  <c:v>15.155160335004458</c:v>
                </c:pt>
                <c:pt idx="1">
                  <c:v>14.48362036810823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7A-0848-8164-BA190B8F6627}"/>
            </c:ext>
          </c:extLst>
        </c:ser>
        <c:ser>
          <c:idx val="4"/>
          <c:order val="4"/>
          <c:tx>
            <c:v>n4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sumarry!$D$27:$E$27</c:f>
              <c:numCache>
                <c:formatCode>General</c:formatCode>
                <c:ptCount val="2"/>
                <c:pt idx="0">
                  <c:v>23.185916885357617</c:v>
                </c:pt>
                <c:pt idx="1">
                  <c:v>15.781056906250518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20-134C-AFE7-76E5AFAD8CF0}"/>
            </c:ext>
          </c:extLst>
        </c:ser>
        <c:ser>
          <c:idx val="5"/>
          <c:order val="5"/>
          <c:tx>
            <c:v>n5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sumarry!$D$28:$E$28</c:f>
              <c:numCache>
                <c:formatCode>General</c:formatCode>
                <c:ptCount val="2"/>
                <c:pt idx="0">
                  <c:v>20.052412326751455</c:v>
                </c:pt>
                <c:pt idx="1">
                  <c:v>18.953276334953458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20-134C-AFE7-76E5AFAD8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92095"/>
        <c:axId val="516793807"/>
      </c:scatterChart>
      <c:catAx>
        <c:axId val="5167920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516793807"/>
        <c:crosses val="autoZero"/>
        <c:auto val="1"/>
        <c:lblAlgn val="ctr"/>
        <c:lblOffset val="100"/>
        <c:noMultiLvlLbl val="0"/>
      </c:catAx>
      <c:valAx>
        <c:axId val="5167938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51679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sumarry!$G$32:$G$33</c:f>
                <c:numCache>
                  <c:formatCode>General</c:formatCode>
                  <c:ptCount val="2"/>
                  <c:pt idx="0">
                    <c:v>6.9712352647207503</c:v>
                  </c:pt>
                  <c:pt idx="1">
                    <c:v>5.3405468181302602</c:v>
                  </c:pt>
                </c:numCache>
              </c:numRef>
            </c:plus>
            <c:minus>
              <c:numRef>
                <c:f>sumarry!$G$32:$G$33</c:f>
                <c:numCache>
                  <c:formatCode>General</c:formatCode>
                  <c:ptCount val="2"/>
                  <c:pt idx="0">
                    <c:v>6.9712352647207503</c:v>
                  </c:pt>
                  <c:pt idx="1">
                    <c:v>5.3405468181302602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sumarry!$B$32:$B$33</c:f>
              <c:strCache>
                <c:ptCount val="2"/>
                <c:pt idx="0">
                  <c:v>EGFP</c:v>
                </c:pt>
                <c:pt idx="1">
                  <c:v>PolyE</c:v>
                </c:pt>
              </c:strCache>
            </c:strRef>
          </c:cat>
          <c:val>
            <c:numRef>
              <c:f>sumarry!$D$32:$D$33</c:f>
              <c:numCache>
                <c:formatCode>General</c:formatCode>
                <c:ptCount val="2"/>
                <c:pt idx="0">
                  <c:v>26.232326269468832</c:v>
                </c:pt>
                <c:pt idx="1">
                  <c:v>21.396828688343003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A-0848-8164-BA190B8F6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16792095"/>
        <c:axId val="516793807"/>
      </c:barChart>
      <c:scatterChart>
        <c:scatterStyle val="lineMarker"/>
        <c:varyColors val="0"/>
        <c:ser>
          <c:idx val="1"/>
          <c:order val="1"/>
          <c:tx>
            <c:v>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sumarry!$G$24:$H$24</c:f>
              <c:numCache>
                <c:formatCode>General</c:formatCode>
                <c:ptCount val="2"/>
                <c:pt idx="0">
                  <c:v>22.596918164777307</c:v>
                </c:pt>
                <c:pt idx="1">
                  <c:v>19.258788041340495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4-4744-9A27-1871A57CA694}"/>
            </c:ext>
          </c:extLst>
        </c:ser>
        <c:ser>
          <c:idx val="2"/>
          <c:order val="2"/>
          <c:tx>
            <c:v>n2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sumarry!$G$25:$H$25</c:f>
              <c:numCache>
                <c:formatCode>General</c:formatCode>
                <c:ptCount val="2"/>
                <c:pt idx="0">
                  <c:v>25.883543406755745</c:v>
                </c:pt>
                <c:pt idx="1">
                  <c:v>23.780954002152914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C4-4744-9A27-1871A57CA694}"/>
            </c:ext>
          </c:extLst>
        </c:ser>
        <c:ser>
          <c:idx val="3"/>
          <c:order val="3"/>
          <c:tx>
            <c:v>n3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sumarry!$G$26:$H$26</c:f>
              <c:numCache>
                <c:formatCode>General</c:formatCode>
                <c:ptCount val="2"/>
                <c:pt idx="0">
                  <c:v>19.530075940582169</c:v>
                </c:pt>
                <c:pt idx="1">
                  <c:v>14.218775728668312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C4-4744-9A27-1871A57CA694}"/>
            </c:ext>
          </c:extLst>
        </c:ser>
        <c:ser>
          <c:idx val="4"/>
          <c:order val="4"/>
          <c:tx>
            <c:v>n4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sumarry!$G$27:$H$27</c:f>
              <c:numCache>
                <c:formatCode>General</c:formatCode>
                <c:ptCount val="2"/>
                <c:pt idx="0">
                  <c:v>25.289273393865908</c:v>
                </c:pt>
                <c:pt idx="1">
                  <c:v>21.102496794346838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1-0945-AABE-49E1C076702A}"/>
            </c:ext>
          </c:extLst>
        </c:ser>
        <c:ser>
          <c:idx val="5"/>
          <c:order val="5"/>
          <c:tx>
            <c:v>n5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sumarry!$G$28:$H$28</c:f>
              <c:numCache>
                <c:formatCode>General</c:formatCode>
                <c:ptCount val="2"/>
                <c:pt idx="0">
                  <c:v>37.861820441363022</c:v>
                </c:pt>
                <c:pt idx="1">
                  <c:v>28.623128875206461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91-0945-AABE-49E1C0767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92095"/>
        <c:axId val="516793807"/>
      </c:scatterChart>
      <c:catAx>
        <c:axId val="5167920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Hiragino Sans W4" panose="020B0400000000000000" pitchFamily="34" charset="-128"/>
                <a:cs typeface="Arial" panose="020B0604020202020204" pitchFamily="34" charset="0"/>
              </a:defRPr>
            </a:pPr>
            <a:endParaRPr lang="ja-JP"/>
          </a:p>
        </c:txPr>
        <c:crossAx val="516793807"/>
        <c:crosses val="autoZero"/>
        <c:auto val="1"/>
        <c:lblAlgn val="ctr"/>
        <c:lblOffset val="100"/>
        <c:noMultiLvlLbl val="0"/>
      </c:catAx>
      <c:valAx>
        <c:axId val="5167938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Hiragino Sans W4" panose="020B0400000000000000" pitchFamily="34" charset="-128"/>
                <a:cs typeface="Arial" panose="020B0604020202020204" pitchFamily="34" charset="0"/>
              </a:defRPr>
            </a:pPr>
            <a:endParaRPr lang="ja-JP"/>
          </a:p>
        </c:txPr>
        <c:crossAx val="51679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ea typeface="Hiragino Sans W4" panose="020B0400000000000000" pitchFamily="34" charset="-128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sumarry!$H$32:$H$33</c:f>
                <c:numCache>
                  <c:formatCode>General</c:formatCode>
                  <c:ptCount val="2"/>
                  <c:pt idx="0">
                    <c:v>1.2452728851553436</c:v>
                  </c:pt>
                  <c:pt idx="1">
                    <c:v>2.0186686187640821</c:v>
                  </c:pt>
                </c:numCache>
              </c:numRef>
            </c:plus>
            <c:minus>
              <c:numRef>
                <c:f>sumarry!$H$32:$H$33</c:f>
                <c:numCache>
                  <c:formatCode>General</c:formatCode>
                  <c:ptCount val="2"/>
                  <c:pt idx="0">
                    <c:v>1.2452728851553436</c:v>
                  </c:pt>
                  <c:pt idx="1">
                    <c:v>2.0186686187640821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sumarry!$B$32:$B$33</c:f>
              <c:strCache>
                <c:ptCount val="2"/>
                <c:pt idx="0">
                  <c:v>EGFP</c:v>
                </c:pt>
                <c:pt idx="1">
                  <c:v>PolyE</c:v>
                </c:pt>
              </c:strCache>
            </c:strRef>
          </c:cat>
          <c:val>
            <c:numRef>
              <c:f>sumarry!$E$32:$E$33</c:f>
              <c:numCache>
                <c:formatCode>General</c:formatCode>
                <c:ptCount val="2"/>
                <c:pt idx="0">
                  <c:v>5.1988593504734411</c:v>
                </c:pt>
                <c:pt idx="1">
                  <c:v>1.4733426303988622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A-0848-8164-BA190B8F6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16792095"/>
        <c:axId val="516793807"/>
      </c:barChart>
      <c:scatterChart>
        <c:scatterStyle val="lineMarker"/>
        <c:varyColors val="0"/>
        <c:ser>
          <c:idx val="1"/>
          <c:order val="1"/>
          <c:tx>
            <c:v>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sumarry!$J$24:$K$24</c:f>
              <c:numCache>
                <c:formatCode>General</c:formatCode>
                <c:ptCount val="2"/>
                <c:pt idx="0">
                  <c:v>5.0737708593585316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7-234D-82EC-5471C7233EFF}"/>
            </c:ext>
          </c:extLst>
        </c:ser>
        <c:ser>
          <c:idx val="2"/>
          <c:order val="2"/>
          <c:tx>
            <c:v>n2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sumarry!$J$25:$K$25</c:f>
              <c:numCache>
                <c:formatCode>General</c:formatCode>
                <c:ptCount val="2"/>
                <c:pt idx="0">
                  <c:v>6.3236154457964631</c:v>
                </c:pt>
                <c:pt idx="1">
                  <c:v>3.5844799599502921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F7-234D-82EC-5471C7233EFF}"/>
            </c:ext>
          </c:extLst>
        </c:ser>
        <c:ser>
          <c:idx val="3"/>
          <c:order val="3"/>
          <c:tx>
            <c:v>n3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sumarry!$J$26:$K$26</c:f>
              <c:numCache>
                <c:formatCode>General</c:formatCode>
                <c:ptCount val="2"/>
                <c:pt idx="0">
                  <c:v>3.9939901750500462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F7-234D-82EC-5471C7233EFF}"/>
            </c:ext>
          </c:extLst>
        </c:ser>
        <c:ser>
          <c:idx val="4"/>
          <c:order val="4"/>
          <c:tx>
            <c:v>n4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sumarry!$J$27:$K$27</c:f>
              <c:numCache>
                <c:formatCode>General</c:formatCode>
                <c:ptCount val="2"/>
                <c:pt idx="0">
                  <c:v>6.6147253905397427</c:v>
                </c:pt>
                <c:pt idx="1">
                  <c:v>3.7822331920440195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4-2C43-A35E-79744E3E4A17}"/>
            </c:ext>
          </c:extLst>
        </c:ser>
        <c:ser>
          <c:idx val="5"/>
          <c:order val="5"/>
          <c:tx>
            <c:v>n5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sumarry!$J$28:$K$28</c:f>
              <c:numCache>
                <c:formatCode>General</c:formatCode>
                <c:ptCount val="2"/>
                <c:pt idx="0">
                  <c:v>3.9881948816224178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4-2C43-A35E-79744E3E4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92095"/>
        <c:axId val="516793807"/>
      </c:scatterChart>
      <c:catAx>
        <c:axId val="51679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516793807"/>
        <c:crosses val="autoZero"/>
        <c:auto val="1"/>
        <c:lblAlgn val="ctr"/>
        <c:lblOffset val="100"/>
        <c:noMultiLvlLbl val="0"/>
      </c:catAx>
      <c:valAx>
        <c:axId val="516793807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5167920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(sumarry!$D$37:$E$37,sumarry!$G$37:$H$37,sumarry!$J$37:$K$37)</c:f>
                <c:numCache>
                  <c:formatCode>General</c:formatCode>
                  <c:ptCount val="6"/>
                  <c:pt idx="0">
                    <c:v>3.2889492264380054</c:v>
                  </c:pt>
                  <c:pt idx="1">
                    <c:v>2.3145177007047928</c:v>
                  </c:pt>
                  <c:pt idx="2">
                    <c:v>6.9712352647207503</c:v>
                  </c:pt>
                  <c:pt idx="3">
                    <c:v>5.3405468181302602</c:v>
                  </c:pt>
                  <c:pt idx="4">
                    <c:v>1.2452728851553436</c:v>
                  </c:pt>
                  <c:pt idx="5">
                    <c:v>2.0186686187640821</c:v>
                  </c:pt>
                </c:numCache>
              </c:numRef>
            </c:plus>
            <c:minus>
              <c:numRef>
                <c:f>(sumarry!$D$37:$E$37,sumarry!$G$37:$H$37,sumarry!$J$37:$K$37)</c:f>
                <c:numCache>
                  <c:formatCode>General</c:formatCode>
                  <c:ptCount val="6"/>
                  <c:pt idx="0">
                    <c:v>3.2889492264380054</c:v>
                  </c:pt>
                  <c:pt idx="1">
                    <c:v>2.3145177007047928</c:v>
                  </c:pt>
                  <c:pt idx="2">
                    <c:v>6.9712352647207503</c:v>
                  </c:pt>
                  <c:pt idx="3">
                    <c:v>5.3405468181302602</c:v>
                  </c:pt>
                  <c:pt idx="4">
                    <c:v>1.2452728851553436</c:v>
                  </c:pt>
                  <c:pt idx="5">
                    <c:v>2.0186686187640821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(sumarry!$D$35:$E$35,sumarry!$G$35:$H$35,sumarry!$J$35:$K$35)</c:f>
              <c:strCache>
                <c:ptCount val="6"/>
                <c:pt idx="0">
                  <c:v>EGFP</c:v>
                </c:pt>
                <c:pt idx="1">
                  <c:v>PolyE</c:v>
                </c:pt>
                <c:pt idx="2">
                  <c:v>EGFP</c:v>
                </c:pt>
                <c:pt idx="3">
                  <c:v>PolyE</c:v>
                </c:pt>
                <c:pt idx="4">
                  <c:v>EGFP</c:v>
                </c:pt>
                <c:pt idx="5">
                  <c:v>PolyE</c:v>
                </c:pt>
              </c:strCache>
            </c:strRef>
          </c:cat>
          <c:val>
            <c:numRef>
              <c:f>(sumarry!$D$36:$E$36,sumarry!$G$36:$H$36,sumarry!$J$36:$K$36)</c:f>
              <c:numCache>
                <c:formatCode>General</c:formatCode>
                <c:ptCount val="6"/>
                <c:pt idx="0">
                  <c:v>19.306074115969679</c:v>
                </c:pt>
                <c:pt idx="1">
                  <c:v>16.656545114304457</c:v>
                </c:pt>
                <c:pt idx="2">
                  <c:v>26.232326269468832</c:v>
                </c:pt>
                <c:pt idx="3">
                  <c:v>21.396828688343003</c:v>
                </c:pt>
                <c:pt idx="4">
                  <c:v>5.1988593504734411</c:v>
                </c:pt>
                <c:pt idx="5">
                  <c:v>1.4733426303988622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6-C647-9863-E5AE1D0E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94014336"/>
        <c:axId val="194906192"/>
      </c:barChart>
      <c:scatterChart>
        <c:scatterStyle val="lineMarker"/>
        <c:varyColors val="0"/>
        <c:ser>
          <c:idx val="1"/>
          <c:order val="1"/>
          <c:tx>
            <c:v>n1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(sumarry!$D$24:$E$24,sumarry!$G$24:$H$24,sumarry!$J$24:$K$24)</c:f>
              <c:numCache>
                <c:formatCode>General</c:formatCode>
                <c:ptCount val="6"/>
                <c:pt idx="0">
                  <c:v>16.797369982018395</c:v>
                </c:pt>
                <c:pt idx="1">
                  <c:v>14.753965456025183</c:v>
                </c:pt>
                <c:pt idx="2">
                  <c:v>22.596918164777307</c:v>
                </c:pt>
                <c:pt idx="3">
                  <c:v>19.258788041340495</c:v>
                </c:pt>
                <c:pt idx="4">
                  <c:v>5.0737708593585316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F6-C647-9863-E5AE1D0E8490}"/>
            </c:ext>
          </c:extLst>
        </c:ser>
        <c:ser>
          <c:idx val="2"/>
          <c:order val="2"/>
          <c:tx>
            <c:v>n2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(sumarry!$D$25:$E$25,sumarry!$G$25:$H$25,sumarry!$J$25:$K$25)</c:f>
              <c:numCache>
                <c:formatCode>General</c:formatCode>
                <c:ptCount val="6"/>
                <c:pt idx="0">
                  <c:v>21.339511050716474</c:v>
                </c:pt>
                <c:pt idx="1">
                  <c:v>19.31080650618491</c:v>
                </c:pt>
                <c:pt idx="2">
                  <c:v>25.883543406755745</c:v>
                </c:pt>
                <c:pt idx="3">
                  <c:v>23.780954002152914</c:v>
                </c:pt>
                <c:pt idx="4">
                  <c:v>6.3236154457964631</c:v>
                </c:pt>
                <c:pt idx="5">
                  <c:v>3.5844799599502921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F6-C647-9863-E5AE1D0E8490}"/>
            </c:ext>
          </c:extLst>
        </c:ser>
        <c:ser>
          <c:idx val="3"/>
          <c:order val="3"/>
          <c:tx>
            <c:v>n3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(sumarry!$D$26:$E$26,sumarry!$G$26:$H$26,sumarry!$J$26:$K$26)</c:f>
              <c:numCache>
                <c:formatCode>General</c:formatCode>
                <c:ptCount val="6"/>
                <c:pt idx="0">
                  <c:v>15.155160335004458</c:v>
                </c:pt>
                <c:pt idx="1">
                  <c:v>14.48362036810823</c:v>
                </c:pt>
                <c:pt idx="2">
                  <c:v>19.530075940582169</c:v>
                </c:pt>
                <c:pt idx="3">
                  <c:v>14.218775728668312</c:v>
                </c:pt>
                <c:pt idx="4">
                  <c:v>3.9939901750500462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F6-C647-9863-E5AE1D0E8490}"/>
            </c:ext>
          </c:extLst>
        </c:ser>
        <c:ser>
          <c:idx val="4"/>
          <c:order val="4"/>
          <c:tx>
            <c:v>n4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(sumarry!$D$27:$E$27,sumarry!$G$27:$H$27,sumarry!$J$27:$K$27)</c:f>
              <c:numCache>
                <c:formatCode>General</c:formatCode>
                <c:ptCount val="6"/>
                <c:pt idx="0">
                  <c:v>23.185916885357617</c:v>
                </c:pt>
                <c:pt idx="1">
                  <c:v>15.781056906250518</c:v>
                </c:pt>
                <c:pt idx="2">
                  <c:v>25.289273393865908</c:v>
                </c:pt>
                <c:pt idx="3">
                  <c:v>21.102496794346838</c:v>
                </c:pt>
                <c:pt idx="4">
                  <c:v>6.6147253905397427</c:v>
                </c:pt>
                <c:pt idx="5">
                  <c:v>3.7822331920440195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F6-C647-9863-E5AE1D0E8490}"/>
            </c:ext>
          </c:extLst>
        </c:ser>
        <c:ser>
          <c:idx val="5"/>
          <c:order val="5"/>
          <c:tx>
            <c:v>n5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yVal>
            <c:numRef>
              <c:f>(sumarry!$D$28:$E$28,sumarry!$G$28:$H$28,sumarry!$J$28:$K$28)</c:f>
              <c:numCache>
                <c:formatCode>General</c:formatCode>
                <c:ptCount val="6"/>
                <c:pt idx="0">
                  <c:v>20.052412326751455</c:v>
                </c:pt>
                <c:pt idx="1">
                  <c:v>18.953276334953458</c:v>
                </c:pt>
                <c:pt idx="2">
                  <c:v>37.861820441363022</c:v>
                </c:pt>
                <c:pt idx="3">
                  <c:v>28.623128875206461</c:v>
                </c:pt>
                <c:pt idx="4">
                  <c:v>3.9881948816224178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F6-C647-9863-E5AE1D0E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14336"/>
        <c:axId val="194906192"/>
      </c:scatterChart>
      <c:catAx>
        <c:axId val="19401433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94906192"/>
        <c:crosses val="autoZero"/>
        <c:auto val="1"/>
        <c:lblAlgn val="ctr"/>
        <c:lblOffset val="100"/>
        <c:noMultiLvlLbl val="0"/>
      </c:catAx>
      <c:valAx>
        <c:axId val="194906192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9401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105932</xdr:colOff>
      <xdr:row>22</xdr:row>
      <xdr:rowOff>212867</xdr:rowOff>
    </xdr:from>
    <xdr:to>
      <xdr:col>13</xdr:col>
      <xdr:colOff>834912</xdr:colOff>
      <xdr:row>32</xdr:row>
      <xdr:rowOff>207788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C2513BB-40D6-9D93-FB46-F147B9EBE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197372</xdr:colOff>
      <xdr:row>22</xdr:row>
      <xdr:rowOff>212867</xdr:rowOff>
    </xdr:from>
    <xdr:to>
      <xdr:col>15</xdr:col>
      <xdr:colOff>926352</xdr:colOff>
      <xdr:row>32</xdr:row>
      <xdr:rowOff>207788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BBF833C-24FC-CE80-2CA3-D6B3CC87A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420892</xdr:colOff>
      <xdr:row>22</xdr:row>
      <xdr:rowOff>212867</xdr:rowOff>
    </xdr:from>
    <xdr:to>
      <xdr:col>18</xdr:col>
      <xdr:colOff>197372</xdr:colOff>
      <xdr:row>32</xdr:row>
      <xdr:rowOff>207788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E0A5DC7-FCF2-C3D6-8E5F-907186E0C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761676</xdr:colOff>
      <xdr:row>39</xdr:row>
      <xdr:rowOff>67746</xdr:rowOff>
    </xdr:from>
    <xdr:to>
      <xdr:col>8</xdr:col>
      <xdr:colOff>571175</xdr:colOff>
      <xdr:row>50</xdr:row>
      <xdr:rowOff>37490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F41C573-BE73-25F9-D65A-E1270A6D2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AAB9-DEDE-224B-B91D-1E10CD5DE4D6}">
  <dimension ref="A1:BK49"/>
  <sheetViews>
    <sheetView workbookViewId="0">
      <selection activeCell="A40" sqref="A40:XFD40"/>
    </sheetView>
  </sheetViews>
  <sheetFormatPr baseColWidth="10" defaultRowHeight="20"/>
  <sheetData>
    <row r="1" spans="1:63">
      <c r="A1" t="s">
        <v>0</v>
      </c>
      <c r="H1" t="s">
        <v>1</v>
      </c>
      <c r="O1" t="s">
        <v>2</v>
      </c>
      <c r="V1" t="s">
        <v>3</v>
      </c>
      <c r="AC1" t="s">
        <v>4</v>
      </c>
      <c r="AJ1" t="s">
        <v>5</v>
      </c>
      <c r="AQ1" t="s">
        <v>6</v>
      </c>
      <c r="AX1" t="s">
        <v>7</v>
      </c>
      <c r="BE1" t="s">
        <v>8</v>
      </c>
    </row>
    <row r="2" spans="1:6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14</v>
      </c>
      <c r="AB2" t="s">
        <v>15</v>
      </c>
      <c r="AC2" t="s">
        <v>9</v>
      </c>
      <c r="AD2" t="s">
        <v>10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9</v>
      </c>
      <c r="AK2" t="s">
        <v>10</v>
      </c>
      <c r="AL2" t="s">
        <v>11</v>
      </c>
      <c r="AM2" t="s">
        <v>12</v>
      </c>
      <c r="AN2" t="s">
        <v>13</v>
      </c>
      <c r="AO2" t="s">
        <v>14</v>
      </c>
      <c r="AP2" t="s">
        <v>15</v>
      </c>
      <c r="AQ2" t="s">
        <v>9</v>
      </c>
      <c r="AR2" t="s">
        <v>10</v>
      </c>
      <c r="AS2" t="s">
        <v>11</v>
      </c>
      <c r="AT2" t="s">
        <v>12</v>
      </c>
      <c r="AU2" t="s">
        <v>13</v>
      </c>
      <c r="AV2" t="s">
        <v>14</v>
      </c>
      <c r="AW2" t="s">
        <v>15</v>
      </c>
      <c r="AX2" t="s">
        <v>9</v>
      </c>
      <c r="AY2" t="s">
        <v>10</v>
      </c>
      <c r="AZ2" t="s">
        <v>11</v>
      </c>
      <c r="BA2" t="s">
        <v>12</v>
      </c>
      <c r="BB2" t="s">
        <v>13</v>
      </c>
      <c r="BC2" t="s">
        <v>14</v>
      </c>
      <c r="BD2" t="s">
        <v>15</v>
      </c>
      <c r="BE2" t="s">
        <v>9</v>
      </c>
      <c r="BF2" t="s">
        <v>10</v>
      </c>
      <c r="BG2" t="s">
        <v>11</v>
      </c>
      <c r="BH2" t="s">
        <v>12</v>
      </c>
      <c r="BI2" t="s">
        <v>13</v>
      </c>
      <c r="BJ2" t="s">
        <v>14</v>
      </c>
      <c r="BK2" t="s">
        <v>15</v>
      </c>
    </row>
    <row r="3" spans="1:63">
      <c r="A3">
        <v>1</v>
      </c>
      <c r="B3">
        <v>202646456</v>
      </c>
      <c r="C3">
        <v>538736456</v>
      </c>
      <c r="D3" t="s">
        <v>16</v>
      </c>
      <c r="E3">
        <v>100</v>
      </c>
      <c r="F3" t="s">
        <v>16</v>
      </c>
      <c r="G3">
        <v>0.74299999999999999</v>
      </c>
      <c r="H3">
        <v>1</v>
      </c>
      <c r="I3">
        <v>160133658</v>
      </c>
      <c r="J3">
        <v>496223658</v>
      </c>
      <c r="K3" t="s">
        <v>16</v>
      </c>
      <c r="L3">
        <v>100</v>
      </c>
      <c r="M3" t="s">
        <v>16</v>
      </c>
      <c r="N3">
        <v>0.751</v>
      </c>
      <c r="O3">
        <v>1</v>
      </c>
      <c r="P3">
        <v>185428169</v>
      </c>
      <c r="Q3">
        <v>521518169</v>
      </c>
      <c r="R3" t="s">
        <v>16</v>
      </c>
      <c r="S3">
        <v>100</v>
      </c>
      <c r="T3" t="s">
        <v>16</v>
      </c>
      <c r="U3">
        <v>0.745</v>
      </c>
      <c r="V3">
        <v>1</v>
      </c>
      <c r="W3">
        <v>70429203</v>
      </c>
      <c r="X3">
        <v>408409203</v>
      </c>
      <c r="Y3" t="s">
        <v>16</v>
      </c>
      <c r="Z3">
        <v>100</v>
      </c>
      <c r="AA3" t="s">
        <v>16</v>
      </c>
      <c r="AB3">
        <v>0.76600000000000001</v>
      </c>
      <c r="AC3">
        <v>1</v>
      </c>
      <c r="AD3">
        <v>60018264</v>
      </c>
      <c r="AE3">
        <v>397998264</v>
      </c>
      <c r="AF3" t="s">
        <v>16</v>
      </c>
      <c r="AG3">
        <v>100</v>
      </c>
      <c r="AH3" t="s">
        <v>16</v>
      </c>
      <c r="AI3">
        <v>0.76600000000000001</v>
      </c>
      <c r="AJ3">
        <v>1</v>
      </c>
      <c r="AK3">
        <v>65783828</v>
      </c>
      <c r="AL3">
        <v>403763828</v>
      </c>
      <c r="AM3" t="s">
        <v>16</v>
      </c>
      <c r="AN3">
        <v>100</v>
      </c>
      <c r="AO3" t="s">
        <v>16</v>
      </c>
      <c r="AP3">
        <v>0.75</v>
      </c>
      <c r="AQ3">
        <v>1</v>
      </c>
      <c r="AR3">
        <v>172030408</v>
      </c>
      <c r="AS3">
        <v>507355408</v>
      </c>
      <c r="AT3" t="s">
        <v>16</v>
      </c>
      <c r="AU3">
        <v>100</v>
      </c>
      <c r="AV3" t="s">
        <v>16</v>
      </c>
      <c r="AW3">
        <v>0.75</v>
      </c>
      <c r="AX3">
        <v>1</v>
      </c>
      <c r="AY3">
        <v>201753987</v>
      </c>
      <c r="AZ3">
        <v>535803987</v>
      </c>
      <c r="BA3" t="s">
        <v>16</v>
      </c>
      <c r="BB3">
        <v>100</v>
      </c>
      <c r="BC3" t="s">
        <v>16</v>
      </c>
      <c r="BD3">
        <v>0.752</v>
      </c>
      <c r="BE3">
        <v>1</v>
      </c>
      <c r="BF3">
        <v>121072521</v>
      </c>
      <c r="BG3">
        <v>455122521</v>
      </c>
      <c r="BH3" t="s">
        <v>16</v>
      </c>
      <c r="BI3">
        <v>100</v>
      </c>
      <c r="BJ3" t="s">
        <v>16</v>
      </c>
      <c r="BK3">
        <v>0.74199999999999999</v>
      </c>
    </row>
    <row r="4" spans="1:63">
      <c r="A4" t="s">
        <v>0</v>
      </c>
      <c r="H4" t="s">
        <v>1</v>
      </c>
      <c r="O4" t="s">
        <v>2</v>
      </c>
      <c r="V4" t="s">
        <v>3</v>
      </c>
      <c r="AC4" t="s">
        <v>4</v>
      </c>
      <c r="AJ4" t="s">
        <v>5</v>
      </c>
      <c r="AQ4" t="s">
        <v>6</v>
      </c>
      <c r="AX4" t="s">
        <v>7</v>
      </c>
      <c r="BE4" t="s">
        <v>8</v>
      </c>
    </row>
    <row r="5" spans="1:63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9</v>
      </c>
      <c r="P5" t="s">
        <v>10</v>
      </c>
      <c r="Q5" t="s">
        <v>11</v>
      </c>
      <c r="R5" t="s">
        <v>12</v>
      </c>
      <c r="S5" t="s">
        <v>13</v>
      </c>
      <c r="T5" t="s">
        <v>14</v>
      </c>
      <c r="U5" t="s">
        <v>15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14</v>
      </c>
      <c r="AB5" t="s">
        <v>15</v>
      </c>
      <c r="AC5" t="s">
        <v>9</v>
      </c>
      <c r="AD5" t="s">
        <v>10</v>
      </c>
      <c r="AE5" t="s">
        <v>11</v>
      </c>
      <c r="AF5" t="s">
        <v>12</v>
      </c>
      <c r="AG5" t="s">
        <v>13</v>
      </c>
      <c r="AH5" t="s">
        <v>14</v>
      </c>
      <c r="AI5" t="s">
        <v>15</v>
      </c>
      <c r="AJ5" t="s">
        <v>9</v>
      </c>
      <c r="AK5" t="s">
        <v>10</v>
      </c>
      <c r="AL5" t="s">
        <v>11</v>
      </c>
      <c r="AM5" t="s">
        <v>12</v>
      </c>
      <c r="AN5" t="s">
        <v>13</v>
      </c>
      <c r="AO5" t="s">
        <v>14</v>
      </c>
      <c r="AP5" t="s">
        <v>15</v>
      </c>
      <c r="AQ5" t="s">
        <v>9</v>
      </c>
      <c r="AR5" t="s">
        <v>10</v>
      </c>
      <c r="AS5" t="s">
        <v>11</v>
      </c>
      <c r="AT5" t="s">
        <v>12</v>
      </c>
      <c r="AU5" t="s">
        <v>13</v>
      </c>
      <c r="AV5" t="s">
        <v>14</v>
      </c>
      <c r="AW5" t="s">
        <v>15</v>
      </c>
      <c r="AX5" t="s">
        <v>9</v>
      </c>
      <c r="AY5" t="s">
        <v>10</v>
      </c>
      <c r="AZ5" t="s">
        <v>11</v>
      </c>
      <c r="BA5" t="s">
        <v>12</v>
      </c>
      <c r="BB5" t="s">
        <v>13</v>
      </c>
      <c r="BC5" t="s">
        <v>14</v>
      </c>
      <c r="BD5" t="s">
        <v>15</v>
      </c>
      <c r="BE5" t="s">
        <v>9</v>
      </c>
      <c r="BF5" t="s">
        <v>10</v>
      </c>
      <c r="BG5" t="s">
        <v>11</v>
      </c>
      <c r="BH5" t="s">
        <v>12</v>
      </c>
      <c r="BI5" t="s">
        <v>13</v>
      </c>
      <c r="BJ5" t="s">
        <v>14</v>
      </c>
      <c r="BK5" t="s">
        <v>15</v>
      </c>
    </row>
    <row r="6" spans="1:63">
      <c r="A6">
        <v>1</v>
      </c>
      <c r="B6">
        <v>19081248</v>
      </c>
      <c r="C6">
        <v>43051248</v>
      </c>
      <c r="D6" t="s">
        <v>16</v>
      </c>
      <c r="E6">
        <v>100</v>
      </c>
      <c r="F6" t="s">
        <v>16</v>
      </c>
      <c r="G6">
        <v>0.74299999999999999</v>
      </c>
      <c r="H6">
        <v>1</v>
      </c>
      <c r="I6">
        <v>45979491</v>
      </c>
      <c r="J6">
        <v>70459491</v>
      </c>
      <c r="K6" t="s">
        <v>16</v>
      </c>
      <c r="L6">
        <v>100</v>
      </c>
      <c r="M6" t="s">
        <v>16</v>
      </c>
      <c r="N6">
        <v>0.751</v>
      </c>
      <c r="V6">
        <v>1</v>
      </c>
      <c r="W6">
        <v>4959196</v>
      </c>
      <c r="X6">
        <v>29469196</v>
      </c>
      <c r="Y6" t="s">
        <v>16</v>
      </c>
      <c r="Z6">
        <v>100</v>
      </c>
      <c r="AA6" t="s">
        <v>16</v>
      </c>
      <c r="AB6">
        <v>0.76600000000000001</v>
      </c>
      <c r="AC6">
        <v>1</v>
      </c>
      <c r="AD6">
        <v>18521474</v>
      </c>
      <c r="AE6">
        <v>42515474</v>
      </c>
      <c r="AF6" t="s">
        <v>16</v>
      </c>
      <c r="AG6">
        <v>100</v>
      </c>
      <c r="AH6" t="s">
        <v>16</v>
      </c>
      <c r="AI6">
        <v>0.76600000000000001</v>
      </c>
      <c r="AQ6">
        <v>1</v>
      </c>
      <c r="AR6">
        <v>7856949</v>
      </c>
      <c r="AS6">
        <v>23411949</v>
      </c>
      <c r="AT6" t="s">
        <v>16</v>
      </c>
      <c r="AU6">
        <v>100</v>
      </c>
      <c r="AV6" t="s">
        <v>16</v>
      </c>
      <c r="AW6">
        <v>0.75</v>
      </c>
      <c r="AX6">
        <v>1</v>
      </c>
      <c r="AY6">
        <v>18093484</v>
      </c>
      <c r="AZ6">
        <v>33648484</v>
      </c>
      <c r="BA6" t="s">
        <v>16</v>
      </c>
      <c r="BB6">
        <v>100</v>
      </c>
      <c r="BC6" t="s">
        <v>16</v>
      </c>
      <c r="BD6">
        <v>0.752</v>
      </c>
    </row>
    <row r="7" spans="1:63">
      <c r="A7" t="s">
        <v>0</v>
      </c>
      <c r="H7" t="s">
        <v>1</v>
      </c>
      <c r="O7" t="s">
        <v>2</v>
      </c>
      <c r="V7" t="s">
        <v>3</v>
      </c>
      <c r="AC7" t="s">
        <v>4</v>
      </c>
      <c r="AJ7" t="s">
        <v>5</v>
      </c>
      <c r="AQ7" t="s">
        <v>6</v>
      </c>
      <c r="AX7" t="s">
        <v>7</v>
      </c>
      <c r="BE7" t="s">
        <v>8</v>
      </c>
    </row>
    <row r="8" spans="1:6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9</v>
      </c>
      <c r="P8" t="s">
        <v>10</v>
      </c>
      <c r="Q8" t="s">
        <v>11</v>
      </c>
      <c r="R8" t="s">
        <v>12</v>
      </c>
      <c r="S8" t="s">
        <v>13</v>
      </c>
      <c r="T8" t="s">
        <v>14</v>
      </c>
      <c r="U8" t="s">
        <v>15</v>
      </c>
      <c r="V8" t="s">
        <v>9</v>
      </c>
      <c r="W8" t="s">
        <v>10</v>
      </c>
      <c r="X8" t="s">
        <v>11</v>
      </c>
      <c r="Y8" t="s">
        <v>12</v>
      </c>
      <c r="Z8" t="s">
        <v>13</v>
      </c>
      <c r="AA8" t="s">
        <v>14</v>
      </c>
      <c r="AB8" t="s">
        <v>15</v>
      </c>
      <c r="AC8" t="s">
        <v>9</v>
      </c>
      <c r="AD8" t="s">
        <v>10</v>
      </c>
      <c r="AE8" t="s">
        <v>11</v>
      </c>
      <c r="AF8" t="s">
        <v>12</v>
      </c>
      <c r="AG8" t="s">
        <v>13</v>
      </c>
      <c r="AH8" t="s">
        <v>14</v>
      </c>
      <c r="AI8" t="s">
        <v>15</v>
      </c>
      <c r="AJ8" t="s">
        <v>9</v>
      </c>
      <c r="AK8" t="s">
        <v>10</v>
      </c>
      <c r="AL8" t="s">
        <v>11</v>
      </c>
      <c r="AM8" t="s">
        <v>12</v>
      </c>
      <c r="AN8" t="s">
        <v>13</v>
      </c>
      <c r="AO8" t="s">
        <v>14</v>
      </c>
      <c r="AP8" t="s">
        <v>15</v>
      </c>
      <c r="AQ8" t="s">
        <v>9</v>
      </c>
      <c r="AR8" t="s">
        <v>10</v>
      </c>
      <c r="AS8" t="s">
        <v>11</v>
      </c>
      <c r="AT8" t="s">
        <v>12</v>
      </c>
      <c r="AU8" t="s">
        <v>13</v>
      </c>
      <c r="AV8" t="s">
        <v>14</v>
      </c>
      <c r="AW8" t="s">
        <v>15</v>
      </c>
      <c r="AX8" t="s">
        <v>9</v>
      </c>
      <c r="AY8" t="s">
        <v>10</v>
      </c>
      <c r="AZ8" t="s">
        <v>11</v>
      </c>
      <c r="BA8" t="s">
        <v>12</v>
      </c>
      <c r="BB8" t="s">
        <v>13</v>
      </c>
      <c r="BC8" t="s">
        <v>14</v>
      </c>
      <c r="BD8" t="s">
        <v>15</v>
      </c>
      <c r="BE8" t="s">
        <v>9</v>
      </c>
      <c r="BF8" t="s">
        <v>10</v>
      </c>
      <c r="BG8" t="s">
        <v>11</v>
      </c>
      <c r="BH8" t="s">
        <v>12</v>
      </c>
      <c r="BI8" t="s">
        <v>13</v>
      </c>
      <c r="BJ8" t="s">
        <v>14</v>
      </c>
      <c r="BK8" t="s">
        <v>15</v>
      </c>
    </row>
    <row r="9" spans="1:63">
      <c r="A9">
        <v>1</v>
      </c>
      <c r="B9">
        <v>23361801</v>
      </c>
      <c r="C9">
        <v>50136801</v>
      </c>
      <c r="D9" t="s">
        <v>16</v>
      </c>
      <c r="E9">
        <v>100</v>
      </c>
      <c r="F9" t="s">
        <v>16</v>
      </c>
      <c r="G9">
        <v>0.72699999999999998</v>
      </c>
      <c r="O9">
        <v>1</v>
      </c>
      <c r="P9">
        <v>50719809</v>
      </c>
      <c r="Q9">
        <v>77494809</v>
      </c>
      <c r="R9" t="s">
        <v>16</v>
      </c>
      <c r="S9">
        <v>100</v>
      </c>
      <c r="T9" t="s">
        <v>16</v>
      </c>
      <c r="U9">
        <v>0.73299999999999998</v>
      </c>
      <c r="V9">
        <v>1</v>
      </c>
      <c r="W9">
        <v>4474862</v>
      </c>
      <c r="X9">
        <v>27952862</v>
      </c>
      <c r="Y9" t="s">
        <v>16</v>
      </c>
      <c r="Z9">
        <v>100</v>
      </c>
      <c r="AA9" t="s">
        <v>16</v>
      </c>
      <c r="AB9">
        <v>0.72599999999999998</v>
      </c>
      <c r="AJ9">
        <v>1</v>
      </c>
      <c r="AK9">
        <v>17144030</v>
      </c>
      <c r="AL9">
        <v>40622030</v>
      </c>
      <c r="AM9" t="s">
        <v>16</v>
      </c>
      <c r="AN9">
        <v>100</v>
      </c>
      <c r="AO9" t="s">
        <v>16</v>
      </c>
      <c r="AP9">
        <v>0.72899999999999998</v>
      </c>
      <c r="AQ9">
        <v>1</v>
      </c>
      <c r="AR9">
        <v>10237790</v>
      </c>
      <c r="AS9">
        <v>25792790</v>
      </c>
      <c r="AT9" t="s">
        <v>16</v>
      </c>
      <c r="AU9">
        <v>100</v>
      </c>
      <c r="AV9" t="s">
        <v>16</v>
      </c>
      <c r="AW9">
        <v>0.71799999999999997</v>
      </c>
      <c r="BE9">
        <v>1</v>
      </c>
      <c r="BF9">
        <v>9178742</v>
      </c>
      <c r="BG9">
        <v>25243742</v>
      </c>
      <c r="BH9" t="s">
        <v>16</v>
      </c>
      <c r="BI9">
        <v>100</v>
      </c>
      <c r="BJ9" t="s">
        <v>16</v>
      </c>
      <c r="BK9">
        <v>0.71499999999999997</v>
      </c>
    </row>
    <row r="10" spans="1:63" s="1" customFormat="1"/>
    <row r="11" spans="1:63">
      <c r="A11" t="s">
        <v>0</v>
      </c>
      <c r="H11" t="s">
        <v>1</v>
      </c>
      <c r="O11" t="s">
        <v>2</v>
      </c>
      <c r="V11" t="s">
        <v>3</v>
      </c>
      <c r="AC11" t="s">
        <v>4</v>
      </c>
      <c r="AJ11" t="s">
        <v>5</v>
      </c>
      <c r="AQ11" t="s">
        <v>6</v>
      </c>
      <c r="AX11" t="s">
        <v>7</v>
      </c>
      <c r="BE11" t="s">
        <v>8</v>
      </c>
    </row>
    <row r="12" spans="1:63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  <c r="N12" t="s">
        <v>15</v>
      </c>
      <c r="O12" t="s">
        <v>9</v>
      </c>
      <c r="P12" t="s">
        <v>10</v>
      </c>
      <c r="Q12" t="s">
        <v>11</v>
      </c>
      <c r="R12" t="s">
        <v>12</v>
      </c>
      <c r="S12" t="s">
        <v>13</v>
      </c>
      <c r="T12" t="s">
        <v>14</v>
      </c>
      <c r="U12" t="s">
        <v>15</v>
      </c>
      <c r="V12" t="s">
        <v>9</v>
      </c>
      <c r="W12" t="s">
        <v>10</v>
      </c>
      <c r="X12" t="s">
        <v>11</v>
      </c>
      <c r="Y12" t="s">
        <v>12</v>
      </c>
      <c r="Z12" t="s">
        <v>13</v>
      </c>
      <c r="AA12" t="s">
        <v>14</v>
      </c>
      <c r="AB12" t="s">
        <v>15</v>
      </c>
      <c r="AC12" t="s">
        <v>9</v>
      </c>
      <c r="AD12" t="s">
        <v>10</v>
      </c>
      <c r="AE12" t="s">
        <v>11</v>
      </c>
      <c r="AF12" t="s">
        <v>12</v>
      </c>
      <c r="AG12" t="s">
        <v>13</v>
      </c>
      <c r="AH12" t="s">
        <v>14</v>
      </c>
      <c r="AI12" t="s">
        <v>15</v>
      </c>
      <c r="AJ12" t="s">
        <v>9</v>
      </c>
      <c r="AK12" t="s">
        <v>10</v>
      </c>
      <c r="AL12" t="s">
        <v>11</v>
      </c>
      <c r="AM12" t="s">
        <v>12</v>
      </c>
      <c r="AN12" t="s">
        <v>13</v>
      </c>
      <c r="AO12" t="s">
        <v>14</v>
      </c>
      <c r="AP12" t="s">
        <v>15</v>
      </c>
      <c r="AQ12" t="s">
        <v>9</v>
      </c>
      <c r="AR12" t="s">
        <v>10</v>
      </c>
      <c r="AS12" t="s">
        <v>11</v>
      </c>
      <c r="AT12" t="s">
        <v>12</v>
      </c>
      <c r="AU12" t="s">
        <v>13</v>
      </c>
      <c r="AV12" t="s">
        <v>14</v>
      </c>
      <c r="AW12" t="s">
        <v>15</v>
      </c>
      <c r="AX12" t="s">
        <v>9</v>
      </c>
      <c r="AY12" t="s">
        <v>10</v>
      </c>
      <c r="AZ12" t="s">
        <v>11</v>
      </c>
      <c r="BA12" t="s">
        <v>12</v>
      </c>
      <c r="BB12" t="s">
        <v>13</v>
      </c>
      <c r="BC12" t="s">
        <v>14</v>
      </c>
      <c r="BD12" t="s">
        <v>15</v>
      </c>
      <c r="BE12" t="s">
        <v>9</v>
      </c>
      <c r="BF12" t="s">
        <v>10</v>
      </c>
      <c r="BG12" t="s">
        <v>11</v>
      </c>
      <c r="BH12" t="s">
        <v>12</v>
      </c>
      <c r="BI12" t="s">
        <v>13</v>
      </c>
      <c r="BJ12" t="s">
        <v>14</v>
      </c>
      <c r="BK12" t="s">
        <v>15</v>
      </c>
    </row>
    <row r="13" spans="1:63">
      <c r="A13">
        <v>1</v>
      </c>
      <c r="B13">
        <v>232578241</v>
      </c>
      <c r="C13">
        <v>564400391</v>
      </c>
      <c r="D13" t="s">
        <v>16</v>
      </c>
      <c r="E13">
        <v>100</v>
      </c>
      <c r="F13" t="s">
        <v>16</v>
      </c>
      <c r="G13">
        <v>0.77</v>
      </c>
      <c r="H13">
        <v>1</v>
      </c>
      <c r="I13">
        <v>211520629</v>
      </c>
      <c r="J13">
        <v>543342779</v>
      </c>
      <c r="K13" t="s">
        <v>16</v>
      </c>
      <c r="L13">
        <v>100</v>
      </c>
      <c r="M13" t="s">
        <v>16</v>
      </c>
      <c r="N13">
        <v>0.77900000000000003</v>
      </c>
      <c r="O13">
        <v>1</v>
      </c>
      <c r="P13">
        <v>283375223</v>
      </c>
      <c r="Q13">
        <v>615197373</v>
      </c>
      <c r="R13" t="s">
        <v>16</v>
      </c>
      <c r="S13">
        <v>100</v>
      </c>
      <c r="T13" t="s">
        <v>16</v>
      </c>
      <c r="U13">
        <v>0.746</v>
      </c>
      <c r="V13">
        <v>1</v>
      </c>
      <c r="W13">
        <v>71606460</v>
      </c>
      <c r="X13">
        <v>415139980</v>
      </c>
      <c r="Y13" t="s">
        <v>16</v>
      </c>
      <c r="Z13">
        <v>100</v>
      </c>
      <c r="AA13" t="s">
        <v>16</v>
      </c>
      <c r="AB13">
        <v>0.77900000000000003</v>
      </c>
      <c r="AC13">
        <v>1</v>
      </c>
      <c r="AD13">
        <v>79180094</v>
      </c>
      <c r="AE13">
        <v>422713614</v>
      </c>
      <c r="AF13" t="s">
        <v>16</v>
      </c>
      <c r="AG13">
        <v>100</v>
      </c>
      <c r="AH13" t="s">
        <v>16</v>
      </c>
      <c r="AI13">
        <v>0.78400000000000003</v>
      </c>
      <c r="AJ13">
        <v>1</v>
      </c>
      <c r="AK13">
        <v>85298340</v>
      </c>
      <c r="AL13">
        <v>428831860</v>
      </c>
      <c r="AM13" t="s">
        <v>16</v>
      </c>
      <c r="AN13">
        <v>100</v>
      </c>
      <c r="AO13" t="s">
        <v>16</v>
      </c>
      <c r="AP13">
        <v>0.75700000000000001</v>
      </c>
      <c r="AQ13">
        <v>1</v>
      </c>
      <c r="AR13">
        <v>165884470</v>
      </c>
      <c r="AS13">
        <v>497706620</v>
      </c>
      <c r="AT13" t="s">
        <v>16</v>
      </c>
      <c r="AU13">
        <v>100</v>
      </c>
      <c r="AV13" t="s">
        <v>16</v>
      </c>
      <c r="AW13">
        <v>0.77700000000000002</v>
      </c>
      <c r="AX13">
        <v>1</v>
      </c>
      <c r="AY13">
        <v>226661332</v>
      </c>
      <c r="AZ13">
        <v>558483482</v>
      </c>
      <c r="BA13" t="s">
        <v>16</v>
      </c>
      <c r="BB13">
        <v>100</v>
      </c>
      <c r="BC13" t="s">
        <v>16</v>
      </c>
      <c r="BD13">
        <v>0.78400000000000003</v>
      </c>
      <c r="BE13">
        <v>1</v>
      </c>
      <c r="BF13">
        <v>223054811</v>
      </c>
      <c r="BG13">
        <v>554876961</v>
      </c>
      <c r="BH13" t="s">
        <v>16</v>
      </c>
      <c r="BI13">
        <v>100</v>
      </c>
      <c r="BJ13" t="s">
        <v>16</v>
      </c>
      <c r="BK13">
        <v>0.74399999999999999</v>
      </c>
    </row>
    <row r="14" spans="1:63">
      <c r="A14" t="s">
        <v>0</v>
      </c>
      <c r="H14" t="s">
        <v>1</v>
      </c>
      <c r="O14" t="s">
        <v>2</v>
      </c>
      <c r="V14" t="s">
        <v>3</v>
      </c>
      <c r="AC14" t="s">
        <v>4</v>
      </c>
      <c r="AJ14" t="s">
        <v>5</v>
      </c>
      <c r="AQ14" t="s">
        <v>6</v>
      </c>
      <c r="AX14" t="s">
        <v>7</v>
      </c>
      <c r="BE14" t="s">
        <v>8</v>
      </c>
    </row>
    <row r="15" spans="1:63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  <c r="N15" t="s">
        <v>15</v>
      </c>
      <c r="O15" t="s">
        <v>9</v>
      </c>
      <c r="P15" t="s">
        <v>10</v>
      </c>
      <c r="Q15" t="s">
        <v>11</v>
      </c>
      <c r="R15" t="s">
        <v>12</v>
      </c>
      <c r="S15" t="s">
        <v>13</v>
      </c>
      <c r="T15" t="s">
        <v>14</v>
      </c>
      <c r="U15" t="s">
        <v>15</v>
      </c>
      <c r="V15" t="s">
        <v>9</v>
      </c>
      <c r="W15" t="s">
        <v>10</v>
      </c>
      <c r="X15" t="s">
        <v>11</v>
      </c>
      <c r="Y15" t="s">
        <v>12</v>
      </c>
      <c r="Z15" t="s">
        <v>13</v>
      </c>
      <c r="AA15" t="s">
        <v>14</v>
      </c>
      <c r="AB15" t="s">
        <v>15</v>
      </c>
      <c r="AC15" t="s">
        <v>9</v>
      </c>
      <c r="AD15" t="s">
        <v>10</v>
      </c>
      <c r="AE15" t="s">
        <v>11</v>
      </c>
      <c r="AF15" t="s">
        <v>12</v>
      </c>
      <c r="AG15" t="s">
        <v>13</v>
      </c>
      <c r="AH15" t="s">
        <v>14</v>
      </c>
      <c r="AI15" t="s">
        <v>15</v>
      </c>
      <c r="AJ15" t="s">
        <v>9</v>
      </c>
      <c r="AK15" t="s">
        <v>10</v>
      </c>
      <c r="AL15" t="s">
        <v>11</v>
      </c>
      <c r="AM15" t="s">
        <v>12</v>
      </c>
      <c r="AN15" t="s">
        <v>13</v>
      </c>
      <c r="AO15" t="s">
        <v>14</v>
      </c>
      <c r="AP15" t="s">
        <v>15</v>
      </c>
      <c r="AQ15" t="s">
        <v>9</v>
      </c>
      <c r="AR15" t="s">
        <v>10</v>
      </c>
      <c r="AS15" t="s">
        <v>11</v>
      </c>
      <c r="AT15" t="s">
        <v>12</v>
      </c>
      <c r="AU15" t="s">
        <v>13</v>
      </c>
      <c r="AV15" t="s">
        <v>14</v>
      </c>
      <c r="AW15" t="s">
        <v>15</v>
      </c>
      <c r="AX15" t="s">
        <v>9</v>
      </c>
      <c r="AY15" t="s">
        <v>10</v>
      </c>
      <c r="AZ15" t="s">
        <v>11</v>
      </c>
      <c r="BA15" t="s">
        <v>12</v>
      </c>
      <c r="BB15" t="s">
        <v>13</v>
      </c>
      <c r="BC15" t="s">
        <v>14</v>
      </c>
      <c r="BD15" t="s">
        <v>15</v>
      </c>
      <c r="BE15" t="s">
        <v>9</v>
      </c>
      <c r="BF15" t="s">
        <v>10</v>
      </c>
      <c r="BG15" t="s">
        <v>11</v>
      </c>
      <c r="BH15" t="s">
        <v>12</v>
      </c>
      <c r="BI15" t="s">
        <v>13</v>
      </c>
      <c r="BJ15" t="s">
        <v>14</v>
      </c>
      <c r="BK15" t="s">
        <v>15</v>
      </c>
    </row>
    <row r="16" spans="1:63">
      <c r="A16">
        <v>1</v>
      </c>
      <c r="B16">
        <v>22016270</v>
      </c>
      <c r="C16">
        <v>46673410</v>
      </c>
      <c r="D16" t="s">
        <v>16</v>
      </c>
      <c r="E16">
        <v>100</v>
      </c>
      <c r="F16" t="s">
        <v>16</v>
      </c>
      <c r="G16">
        <v>0.77</v>
      </c>
      <c r="H16">
        <v>1</v>
      </c>
      <c r="I16">
        <v>67153738</v>
      </c>
      <c r="J16">
        <v>91810878</v>
      </c>
      <c r="K16" t="s">
        <v>16</v>
      </c>
      <c r="L16">
        <v>100</v>
      </c>
      <c r="M16" t="s">
        <v>16</v>
      </c>
      <c r="N16">
        <v>0.77900000000000003</v>
      </c>
      <c r="V16">
        <v>1</v>
      </c>
      <c r="W16">
        <v>5361573</v>
      </c>
      <c r="X16">
        <v>28444853</v>
      </c>
      <c r="Y16" t="s">
        <v>16</v>
      </c>
      <c r="Z16">
        <v>100</v>
      </c>
      <c r="AA16" t="s">
        <v>16</v>
      </c>
      <c r="AB16">
        <v>0.77900000000000003</v>
      </c>
      <c r="AC16">
        <v>1</v>
      </c>
      <c r="AD16">
        <v>25856187</v>
      </c>
      <c r="AE16">
        <v>48939467</v>
      </c>
      <c r="AF16" t="s">
        <v>16</v>
      </c>
      <c r="AG16">
        <v>100</v>
      </c>
      <c r="AH16" t="s">
        <v>16</v>
      </c>
      <c r="AI16">
        <v>0.78400000000000003</v>
      </c>
      <c r="AQ16">
        <v>1</v>
      </c>
      <c r="AR16">
        <v>10056669</v>
      </c>
      <c r="AS16">
        <v>29467609</v>
      </c>
      <c r="AT16" t="s">
        <v>16</v>
      </c>
      <c r="AU16">
        <v>100</v>
      </c>
      <c r="AV16" t="s">
        <v>16</v>
      </c>
      <c r="AW16">
        <v>0.77700000000000002</v>
      </c>
      <c r="AX16">
        <v>1</v>
      </c>
      <c r="AY16">
        <v>24389860</v>
      </c>
      <c r="AZ16">
        <v>43800800</v>
      </c>
      <c r="BA16" t="s">
        <v>16</v>
      </c>
      <c r="BB16">
        <v>100</v>
      </c>
      <c r="BC16" t="s">
        <v>16</v>
      </c>
      <c r="BD16">
        <v>0.77100000000000002</v>
      </c>
    </row>
    <row r="17" spans="1:63">
      <c r="A17" t="s">
        <v>0</v>
      </c>
      <c r="H17" t="s">
        <v>1</v>
      </c>
      <c r="O17" t="s">
        <v>2</v>
      </c>
      <c r="V17" t="s">
        <v>3</v>
      </c>
      <c r="AC17" t="s">
        <v>4</v>
      </c>
      <c r="AJ17" t="s">
        <v>5</v>
      </c>
      <c r="AQ17" t="s">
        <v>6</v>
      </c>
      <c r="AX17" t="s">
        <v>7</v>
      </c>
      <c r="BE17" t="s">
        <v>8</v>
      </c>
    </row>
    <row r="18" spans="1:63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9</v>
      </c>
      <c r="I18" t="s">
        <v>10</v>
      </c>
      <c r="J18" t="s">
        <v>11</v>
      </c>
      <c r="K18" t="s">
        <v>12</v>
      </c>
      <c r="L18" t="s">
        <v>13</v>
      </c>
      <c r="M18" t="s">
        <v>14</v>
      </c>
      <c r="N18" t="s">
        <v>15</v>
      </c>
      <c r="O18" t="s">
        <v>9</v>
      </c>
      <c r="P18" t="s">
        <v>10</v>
      </c>
      <c r="Q18" t="s">
        <v>11</v>
      </c>
      <c r="R18" t="s">
        <v>12</v>
      </c>
      <c r="S18" t="s">
        <v>13</v>
      </c>
      <c r="T18" t="s">
        <v>14</v>
      </c>
      <c r="U18" t="s">
        <v>15</v>
      </c>
      <c r="V18" t="s">
        <v>9</v>
      </c>
      <c r="W18" t="s">
        <v>10</v>
      </c>
      <c r="X18" t="s">
        <v>11</v>
      </c>
      <c r="Y18" t="s">
        <v>12</v>
      </c>
      <c r="Z18" t="s">
        <v>13</v>
      </c>
      <c r="AA18" t="s">
        <v>14</v>
      </c>
      <c r="AB18" t="s">
        <v>15</v>
      </c>
      <c r="AC18" t="s">
        <v>9</v>
      </c>
      <c r="AD18" t="s">
        <v>10</v>
      </c>
      <c r="AE18" t="s">
        <v>11</v>
      </c>
      <c r="AF18" t="s">
        <v>12</v>
      </c>
      <c r="AG18" t="s">
        <v>13</v>
      </c>
      <c r="AH18" t="s">
        <v>14</v>
      </c>
      <c r="AI18" t="s">
        <v>15</v>
      </c>
      <c r="AJ18" t="s">
        <v>9</v>
      </c>
      <c r="AK18" t="s">
        <v>10</v>
      </c>
      <c r="AL18" t="s">
        <v>11</v>
      </c>
      <c r="AM18" t="s">
        <v>12</v>
      </c>
      <c r="AN18" t="s">
        <v>13</v>
      </c>
      <c r="AO18" t="s">
        <v>14</v>
      </c>
      <c r="AP18" t="s">
        <v>15</v>
      </c>
      <c r="AQ18" t="s">
        <v>9</v>
      </c>
      <c r="AR18" t="s">
        <v>10</v>
      </c>
      <c r="AS18" t="s">
        <v>11</v>
      </c>
      <c r="AT18" t="s">
        <v>12</v>
      </c>
      <c r="AU18" t="s">
        <v>13</v>
      </c>
      <c r="AV18" t="s">
        <v>14</v>
      </c>
      <c r="AW18" t="s">
        <v>15</v>
      </c>
      <c r="AX18" t="s">
        <v>9</v>
      </c>
      <c r="AY18" t="s">
        <v>10</v>
      </c>
      <c r="AZ18" t="s">
        <v>11</v>
      </c>
      <c r="BA18" t="s">
        <v>12</v>
      </c>
      <c r="BB18" t="s">
        <v>13</v>
      </c>
      <c r="BC18" t="s">
        <v>14</v>
      </c>
      <c r="BD18" t="s">
        <v>15</v>
      </c>
      <c r="BE18" t="s">
        <v>9</v>
      </c>
      <c r="BF18" t="s">
        <v>10</v>
      </c>
      <c r="BG18" t="s">
        <v>11</v>
      </c>
      <c r="BH18" t="s">
        <v>12</v>
      </c>
      <c r="BI18" t="s">
        <v>13</v>
      </c>
      <c r="BJ18" t="s">
        <v>14</v>
      </c>
      <c r="BK18" t="s">
        <v>15</v>
      </c>
    </row>
    <row r="19" spans="1:63">
      <c r="A19">
        <v>1</v>
      </c>
      <c r="B19">
        <v>25651537</v>
      </c>
      <c r="C19">
        <v>51620227</v>
      </c>
      <c r="D19" t="s">
        <v>16</v>
      </c>
      <c r="E19">
        <v>100</v>
      </c>
      <c r="F19" t="s">
        <v>16</v>
      </c>
      <c r="G19">
        <v>0.746</v>
      </c>
      <c r="O19">
        <v>1</v>
      </c>
      <c r="P19">
        <v>80373578</v>
      </c>
      <c r="Q19">
        <v>106342268</v>
      </c>
      <c r="R19" t="s">
        <v>16</v>
      </c>
      <c r="S19">
        <v>100</v>
      </c>
      <c r="T19" t="s">
        <v>16</v>
      </c>
      <c r="U19">
        <v>0.746</v>
      </c>
      <c r="V19">
        <v>1</v>
      </c>
      <c r="W19">
        <v>5545320</v>
      </c>
      <c r="X19">
        <v>31615848</v>
      </c>
      <c r="Y19" t="s">
        <v>16</v>
      </c>
      <c r="Z19">
        <v>100</v>
      </c>
      <c r="AA19" t="s">
        <v>16</v>
      </c>
      <c r="AB19">
        <v>0.751</v>
      </c>
      <c r="AJ19">
        <v>1</v>
      </c>
      <c r="AK19">
        <v>25830079</v>
      </c>
      <c r="AL19">
        <v>50814335</v>
      </c>
      <c r="AM19" t="s">
        <v>16</v>
      </c>
      <c r="AN19">
        <v>100</v>
      </c>
      <c r="AO19" t="s">
        <v>16</v>
      </c>
      <c r="AP19">
        <v>0.74399999999999999</v>
      </c>
      <c r="AQ19">
        <v>1</v>
      </c>
      <c r="AR19">
        <v>11173335</v>
      </c>
      <c r="AS19">
        <v>29797345</v>
      </c>
      <c r="AT19" t="s">
        <v>16</v>
      </c>
      <c r="AU19">
        <v>100</v>
      </c>
      <c r="AV19" t="s">
        <v>16</v>
      </c>
      <c r="AW19">
        <v>0.74399999999999999</v>
      </c>
      <c r="BE19">
        <v>1</v>
      </c>
      <c r="BF19">
        <v>19168690</v>
      </c>
      <c r="BG19">
        <v>37268080</v>
      </c>
      <c r="BH19" t="s">
        <v>16</v>
      </c>
      <c r="BI19">
        <v>100</v>
      </c>
      <c r="BJ19" t="s">
        <v>16</v>
      </c>
      <c r="BK19">
        <v>0.73499999999999999</v>
      </c>
    </row>
    <row r="20" spans="1:63" s="1" customFormat="1"/>
    <row r="21" spans="1:63">
      <c r="A21" t="s">
        <v>0</v>
      </c>
      <c r="H21" t="s">
        <v>1</v>
      </c>
      <c r="O21" t="s">
        <v>2</v>
      </c>
      <c r="V21" t="s">
        <v>3</v>
      </c>
      <c r="AC21" t="s">
        <v>4</v>
      </c>
      <c r="AJ21" t="s">
        <v>5</v>
      </c>
      <c r="AQ21" t="s">
        <v>6</v>
      </c>
      <c r="AX21" t="s">
        <v>7</v>
      </c>
      <c r="BE21" t="s">
        <v>8</v>
      </c>
    </row>
    <row r="22" spans="1:63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9</v>
      </c>
      <c r="P22" t="s">
        <v>10</v>
      </c>
      <c r="Q22" t="s">
        <v>11</v>
      </c>
      <c r="R22" t="s">
        <v>12</v>
      </c>
      <c r="S22" t="s">
        <v>13</v>
      </c>
      <c r="T22" t="s">
        <v>14</v>
      </c>
      <c r="U22" t="s">
        <v>15</v>
      </c>
      <c r="V22" t="s">
        <v>9</v>
      </c>
      <c r="W22" t="s">
        <v>10</v>
      </c>
      <c r="X22" t="s">
        <v>11</v>
      </c>
      <c r="Y22" t="s">
        <v>12</v>
      </c>
      <c r="Z22" t="s">
        <v>13</v>
      </c>
      <c r="AA22" t="s">
        <v>14</v>
      </c>
      <c r="AB22" t="s">
        <v>15</v>
      </c>
      <c r="AC22" t="s">
        <v>9</v>
      </c>
      <c r="AD22" t="s">
        <v>10</v>
      </c>
      <c r="AE22" t="s">
        <v>11</v>
      </c>
      <c r="AF22" t="s">
        <v>12</v>
      </c>
      <c r="AG22" t="s">
        <v>13</v>
      </c>
      <c r="AH22" t="s">
        <v>14</v>
      </c>
      <c r="AI22" t="s">
        <v>15</v>
      </c>
      <c r="AJ22" t="s">
        <v>9</v>
      </c>
      <c r="AK22" t="s">
        <v>10</v>
      </c>
      <c r="AL22" t="s">
        <v>11</v>
      </c>
      <c r="AM22" t="s">
        <v>12</v>
      </c>
      <c r="AN22" t="s">
        <v>13</v>
      </c>
      <c r="AO22" t="s">
        <v>14</v>
      </c>
      <c r="AP22" t="s">
        <v>15</v>
      </c>
      <c r="AQ22" t="s">
        <v>9</v>
      </c>
      <c r="AR22" t="s">
        <v>10</v>
      </c>
      <c r="AS22" t="s">
        <v>11</v>
      </c>
      <c r="AT22" t="s">
        <v>12</v>
      </c>
      <c r="AU22" t="s">
        <v>13</v>
      </c>
      <c r="AV22" t="s">
        <v>14</v>
      </c>
      <c r="AW22" t="s">
        <v>15</v>
      </c>
      <c r="AX22" t="s">
        <v>9</v>
      </c>
      <c r="AY22" t="s">
        <v>10</v>
      </c>
      <c r="AZ22" t="s">
        <v>11</v>
      </c>
      <c r="BA22" t="s">
        <v>12</v>
      </c>
      <c r="BB22" t="s">
        <v>13</v>
      </c>
      <c r="BC22" t="s">
        <v>14</v>
      </c>
      <c r="BD22" t="s">
        <v>15</v>
      </c>
      <c r="BE22" t="s">
        <v>9</v>
      </c>
      <c r="BF22" t="s">
        <v>10</v>
      </c>
      <c r="BG22" t="s">
        <v>11</v>
      </c>
      <c r="BH22" t="s">
        <v>12</v>
      </c>
      <c r="BI22" t="s">
        <v>13</v>
      </c>
      <c r="BJ22" t="s">
        <v>14</v>
      </c>
      <c r="BK22" t="s">
        <v>15</v>
      </c>
    </row>
    <row r="23" spans="1:63">
      <c r="A23">
        <v>1</v>
      </c>
      <c r="B23">
        <v>252192529</v>
      </c>
      <c r="C23">
        <v>596297191</v>
      </c>
      <c r="D23" t="s">
        <v>16</v>
      </c>
      <c r="E23">
        <v>100</v>
      </c>
      <c r="F23" t="s">
        <v>16</v>
      </c>
      <c r="G23">
        <v>0.80900000000000005</v>
      </c>
      <c r="H23">
        <v>1</v>
      </c>
      <c r="I23">
        <v>172416810</v>
      </c>
      <c r="J23">
        <v>516521472</v>
      </c>
      <c r="K23" t="s">
        <v>16</v>
      </c>
      <c r="L23">
        <v>100</v>
      </c>
      <c r="M23" t="s">
        <v>16</v>
      </c>
      <c r="N23">
        <v>0.81200000000000006</v>
      </c>
      <c r="O23">
        <v>1</v>
      </c>
      <c r="P23">
        <v>149436539</v>
      </c>
      <c r="Q23">
        <v>493541201</v>
      </c>
      <c r="R23" t="s">
        <v>16</v>
      </c>
      <c r="S23">
        <v>100</v>
      </c>
      <c r="T23" t="s">
        <v>16</v>
      </c>
      <c r="U23">
        <v>0.78100000000000003</v>
      </c>
      <c r="V23">
        <v>1</v>
      </c>
      <c r="W23">
        <v>98083175</v>
      </c>
      <c r="X23">
        <v>450098289</v>
      </c>
      <c r="Y23" t="s">
        <v>16</v>
      </c>
      <c r="Z23">
        <v>100</v>
      </c>
      <c r="AA23" t="s">
        <v>16</v>
      </c>
      <c r="AB23">
        <v>0.81499999999999995</v>
      </c>
      <c r="AC23">
        <v>1</v>
      </c>
      <c r="AD23">
        <v>56195250</v>
      </c>
      <c r="AE23">
        <v>408210364</v>
      </c>
      <c r="AF23" t="s">
        <v>16</v>
      </c>
      <c r="AG23">
        <v>100</v>
      </c>
      <c r="AH23" t="s">
        <v>16</v>
      </c>
      <c r="AI23">
        <v>0.81799999999999995</v>
      </c>
      <c r="AJ23">
        <v>1</v>
      </c>
      <c r="AK23">
        <v>58598301</v>
      </c>
      <c r="AL23">
        <v>410613415</v>
      </c>
      <c r="AM23" t="s">
        <v>16</v>
      </c>
      <c r="AN23">
        <v>100</v>
      </c>
      <c r="AO23" t="s">
        <v>16</v>
      </c>
      <c r="AP23">
        <v>0.78100000000000003</v>
      </c>
      <c r="AQ23">
        <v>1</v>
      </c>
      <c r="AR23">
        <v>222729441</v>
      </c>
      <c r="AS23">
        <v>565889049</v>
      </c>
      <c r="AT23" t="s">
        <v>16</v>
      </c>
      <c r="AU23">
        <v>100</v>
      </c>
      <c r="AV23" t="s">
        <v>16</v>
      </c>
      <c r="AW23">
        <v>0.79600000000000004</v>
      </c>
      <c r="AX23">
        <v>1</v>
      </c>
      <c r="AY23">
        <v>225059467</v>
      </c>
      <c r="AZ23">
        <v>568219075</v>
      </c>
      <c r="BA23" t="s">
        <v>16</v>
      </c>
      <c r="BB23">
        <v>100</v>
      </c>
      <c r="BC23" t="s">
        <v>16</v>
      </c>
      <c r="BD23">
        <v>0.80200000000000005</v>
      </c>
      <c r="BE23">
        <v>1</v>
      </c>
      <c r="BF23">
        <v>104151348</v>
      </c>
      <c r="BG23">
        <v>447310956</v>
      </c>
      <c r="BH23" t="s">
        <v>16</v>
      </c>
      <c r="BI23">
        <v>100</v>
      </c>
      <c r="BJ23" t="s">
        <v>16</v>
      </c>
      <c r="BK23">
        <v>0.75700000000000001</v>
      </c>
    </row>
    <row r="24" spans="1:63">
      <c r="A24" t="s">
        <v>0</v>
      </c>
      <c r="H24" t="s">
        <v>1</v>
      </c>
      <c r="O24" t="s">
        <v>2</v>
      </c>
      <c r="V24" t="s">
        <v>3</v>
      </c>
      <c r="AC24" t="s">
        <v>4</v>
      </c>
      <c r="AJ24" t="s">
        <v>5</v>
      </c>
      <c r="AQ24" t="s">
        <v>6</v>
      </c>
      <c r="AX24" t="s">
        <v>7</v>
      </c>
      <c r="BE24" t="s">
        <v>8</v>
      </c>
    </row>
    <row r="25" spans="1:63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9</v>
      </c>
      <c r="P25" t="s">
        <v>10</v>
      </c>
      <c r="Q25" t="s">
        <v>11</v>
      </c>
      <c r="R25" t="s">
        <v>12</v>
      </c>
      <c r="S25" t="s">
        <v>13</v>
      </c>
      <c r="T25" t="s">
        <v>14</v>
      </c>
      <c r="U25" t="s">
        <v>15</v>
      </c>
      <c r="V25" t="s">
        <v>9</v>
      </c>
      <c r="W25" t="s">
        <v>10</v>
      </c>
      <c r="X25" t="s">
        <v>11</v>
      </c>
      <c r="Y25" t="s">
        <v>12</v>
      </c>
      <c r="Z25" t="s">
        <v>13</v>
      </c>
      <c r="AA25" t="s">
        <v>14</v>
      </c>
      <c r="AB25" t="s">
        <v>15</v>
      </c>
      <c r="AC25" t="s">
        <v>9</v>
      </c>
      <c r="AD25" t="s">
        <v>10</v>
      </c>
      <c r="AE25" t="s">
        <v>11</v>
      </c>
      <c r="AF25" t="s">
        <v>12</v>
      </c>
      <c r="AG25" t="s">
        <v>13</v>
      </c>
      <c r="AH25" t="s">
        <v>14</v>
      </c>
      <c r="AI25" t="s">
        <v>15</v>
      </c>
      <c r="AJ25" t="s">
        <v>9</v>
      </c>
      <c r="AK25" t="s">
        <v>10</v>
      </c>
      <c r="AL25" t="s">
        <v>11</v>
      </c>
      <c r="AM25" t="s">
        <v>12</v>
      </c>
      <c r="AN25" t="s">
        <v>13</v>
      </c>
      <c r="AO25" t="s">
        <v>14</v>
      </c>
      <c r="AP25" t="s">
        <v>15</v>
      </c>
      <c r="AQ25" t="s">
        <v>9</v>
      </c>
      <c r="AR25" t="s">
        <v>10</v>
      </c>
      <c r="AS25" t="s">
        <v>11</v>
      </c>
      <c r="AT25" t="s">
        <v>12</v>
      </c>
      <c r="AU25" t="s">
        <v>13</v>
      </c>
      <c r="AV25" t="s">
        <v>14</v>
      </c>
      <c r="AW25" t="s">
        <v>15</v>
      </c>
      <c r="AX25" t="s">
        <v>9</v>
      </c>
      <c r="AY25" t="s">
        <v>10</v>
      </c>
      <c r="AZ25" t="s">
        <v>11</v>
      </c>
      <c r="BA25" t="s">
        <v>12</v>
      </c>
      <c r="BB25" t="s">
        <v>13</v>
      </c>
      <c r="BC25" t="s">
        <v>14</v>
      </c>
      <c r="BD25" t="s">
        <v>15</v>
      </c>
      <c r="BE25" t="s">
        <v>9</v>
      </c>
      <c r="BF25" t="s">
        <v>10</v>
      </c>
      <c r="BG25" t="s">
        <v>11</v>
      </c>
      <c r="BH25" t="s">
        <v>12</v>
      </c>
      <c r="BI25" t="s">
        <v>13</v>
      </c>
      <c r="BJ25" t="s">
        <v>14</v>
      </c>
      <c r="BK25" t="s">
        <v>15</v>
      </c>
    </row>
    <row r="26" spans="1:63">
      <c r="A26">
        <v>1</v>
      </c>
      <c r="B26">
        <v>25713685</v>
      </c>
      <c r="C26">
        <v>49244575</v>
      </c>
      <c r="D26" t="s">
        <v>16</v>
      </c>
      <c r="E26">
        <v>100</v>
      </c>
      <c r="F26" t="s">
        <v>16</v>
      </c>
      <c r="G26">
        <v>0.80900000000000005</v>
      </c>
      <c r="H26">
        <v>1</v>
      </c>
      <c r="I26">
        <v>51843729</v>
      </c>
      <c r="J26">
        <v>75374619</v>
      </c>
      <c r="K26" t="s">
        <v>16</v>
      </c>
      <c r="L26">
        <v>100</v>
      </c>
      <c r="M26" t="s">
        <v>16</v>
      </c>
      <c r="N26">
        <v>0.81200000000000006</v>
      </c>
      <c r="V26">
        <v>1</v>
      </c>
      <c r="W26">
        <v>9688477</v>
      </c>
      <c r="X26">
        <v>32910713</v>
      </c>
      <c r="Y26" t="s">
        <v>16</v>
      </c>
      <c r="Z26">
        <v>100</v>
      </c>
      <c r="AA26" t="s">
        <v>16</v>
      </c>
      <c r="AB26">
        <v>0.81499999999999995</v>
      </c>
      <c r="AC26">
        <v>1</v>
      </c>
      <c r="AD26">
        <v>20663452</v>
      </c>
      <c r="AE26">
        <v>43885688</v>
      </c>
      <c r="AF26" t="s">
        <v>16</v>
      </c>
      <c r="AG26">
        <v>100</v>
      </c>
      <c r="AH26" t="s">
        <v>16</v>
      </c>
      <c r="AI26">
        <v>0.81799999999999995</v>
      </c>
      <c r="AQ26">
        <v>1</v>
      </c>
      <c r="AR26">
        <v>13811983</v>
      </c>
      <c r="AS26">
        <v>32693971</v>
      </c>
      <c r="AT26" t="s">
        <v>16</v>
      </c>
      <c r="AU26">
        <v>100</v>
      </c>
      <c r="AV26" t="s">
        <v>16</v>
      </c>
      <c r="AW26">
        <v>0.79600000000000004</v>
      </c>
      <c r="AX26">
        <v>1</v>
      </c>
      <c r="AY26">
        <v>22800836</v>
      </c>
      <c r="AZ26">
        <v>41682824</v>
      </c>
      <c r="BA26" t="s">
        <v>16</v>
      </c>
      <c r="BB26">
        <v>100</v>
      </c>
      <c r="BC26" t="s">
        <v>16</v>
      </c>
      <c r="BD26">
        <v>0.80200000000000005</v>
      </c>
    </row>
    <row r="27" spans="1:63">
      <c r="A27" t="s">
        <v>0</v>
      </c>
      <c r="H27" t="s">
        <v>1</v>
      </c>
      <c r="O27" t="s">
        <v>2</v>
      </c>
      <c r="V27" t="s">
        <v>3</v>
      </c>
      <c r="AC27" t="s">
        <v>4</v>
      </c>
      <c r="AJ27" t="s">
        <v>5</v>
      </c>
      <c r="AQ27" t="s">
        <v>6</v>
      </c>
      <c r="AX27" t="s">
        <v>7</v>
      </c>
      <c r="BE27" t="s">
        <v>8</v>
      </c>
    </row>
    <row r="28" spans="1:63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9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9</v>
      </c>
      <c r="P28" t="s">
        <v>10</v>
      </c>
      <c r="Q28" t="s">
        <v>11</v>
      </c>
      <c r="R28" t="s">
        <v>12</v>
      </c>
      <c r="S28" t="s">
        <v>13</v>
      </c>
      <c r="T28" t="s">
        <v>14</v>
      </c>
      <c r="U28" t="s">
        <v>15</v>
      </c>
      <c r="V28" t="s">
        <v>9</v>
      </c>
      <c r="W28" t="s">
        <v>10</v>
      </c>
      <c r="X28" t="s">
        <v>11</v>
      </c>
      <c r="Y28" t="s">
        <v>12</v>
      </c>
      <c r="Z28" t="s">
        <v>13</v>
      </c>
      <c r="AA28" t="s">
        <v>14</v>
      </c>
      <c r="AB28" t="s">
        <v>15</v>
      </c>
      <c r="AC28" t="s">
        <v>9</v>
      </c>
      <c r="AD28" t="s">
        <v>10</v>
      </c>
      <c r="AE28" t="s">
        <v>11</v>
      </c>
      <c r="AF28" t="s">
        <v>12</v>
      </c>
      <c r="AG28" t="s">
        <v>13</v>
      </c>
      <c r="AH28" t="s">
        <v>14</v>
      </c>
      <c r="AI28" t="s">
        <v>15</v>
      </c>
      <c r="AJ28" t="s">
        <v>9</v>
      </c>
      <c r="AK28" t="s">
        <v>10</v>
      </c>
      <c r="AL28" t="s">
        <v>11</v>
      </c>
      <c r="AM28" t="s">
        <v>12</v>
      </c>
      <c r="AN28" t="s">
        <v>13</v>
      </c>
      <c r="AO28" t="s">
        <v>14</v>
      </c>
      <c r="AP28" t="s">
        <v>15</v>
      </c>
      <c r="AQ28" t="s">
        <v>9</v>
      </c>
      <c r="AR28" t="s">
        <v>10</v>
      </c>
      <c r="AS28" t="s">
        <v>11</v>
      </c>
      <c r="AT28" t="s">
        <v>12</v>
      </c>
      <c r="AU28" t="s">
        <v>13</v>
      </c>
      <c r="AV28" t="s">
        <v>14</v>
      </c>
      <c r="AW28" t="s">
        <v>15</v>
      </c>
      <c r="AX28" t="s">
        <v>9</v>
      </c>
      <c r="AY28" t="s">
        <v>10</v>
      </c>
      <c r="AZ28" t="s">
        <v>11</v>
      </c>
      <c r="BA28" t="s">
        <v>12</v>
      </c>
      <c r="BB28" t="s">
        <v>13</v>
      </c>
      <c r="BC28" t="s">
        <v>14</v>
      </c>
      <c r="BD28" t="s">
        <v>15</v>
      </c>
      <c r="BE28" t="s">
        <v>9</v>
      </c>
      <c r="BF28" t="s">
        <v>10</v>
      </c>
      <c r="BG28" t="s">
        <v>11</v>
      </c>
      <c r="BH28" t="s">
        <v>12</v>
      </c>
      <c r="BI28" t="s">
        <v>13</v>
      </c>
      <c r="BJ28" t="s">
        <v>14</v>
      </c>
      <c r="BK28" t="s">
        <v>15</v>
      </c>
    </row>
    <row r="29" spans="1:63">
      <c r="A29">
        <v>1</v>
      </c>
      <c r="B29">
        <v>22723735</v>
      </c>
      <c r="C29">
        <v>39887443</v>
      </c>
      <c r="D29" t="s">
        <v>16</v>
      </c>
      <c r="E29">
        <v>100</v>
      </c>
      <c r="F29" t="s">
        <v>16</v>
      </c>
      <c r="G29">
        <v>0.77900000000000003</v>
      </c>
      <c r="O29">
        <v>1</v>
      </c>
      <c r="P29">
        <v>44367556</v>
      </c>
      <c r="Q29">
        <v>71220454</v>
      </c>
      <c r="R29" t="s">
        <v>16</v>
      </c>
      <c r="S29">
        <v>100</v>
      </c>
      <c r="T29" t="s">
        <v>16</v>
      </c>
      <c r="U29">
        <v>0.77600000000000002</v>
      </c>
      <c r="V29">
        <v>1</v>
      </c>
      <c r="W29">
        <v>8930527</v>
      </c>
      <c r="X29">
        <v>32152763</v>
      </c>
      <c r="Y29" t="s">
        <v>16</v>
      </c>
      <c r="Z29">
        <v>100</v>
      </c>
      <c r="AA29" t="s">
        <v>16</v>
      </c>
      <c r="AB29">
        <v>0.78100000000000003</v>
      </c>
      <c r="AJ29">
        <v>1</v>
      </c>
      <c r="AK29">
        <v>17262488</v>
      </c>
      <c r="AL29">
        <v>41051120</v>
      </c>
      <c r="AM29" t="s">
        <v>16</v>
      </c>
      <c r="AN29">
        <v>100</v>
      </c>
      <c r="AO29" t="s">
        <v>16</v>
      </c>
      <c r="AP29">
        <v>0.77300000000000002</v>
      </c>
      <c r="AQ29">
        <v>1</v>
      </c>
      <c r="AR29">
        <v>15138353</v>
      </c>
      <c r="AS29">
        <v>32652081</v>
      </c>
      <c r="AT29" t="s">
        <v>16</v>
      </c>
      <c r="AU29">
        <v>100</v>
      </c>
      <c r="AV29" t="s">
        <v>16</v>
      </c>
      <c r="AW29">
        <v>0.76100000000000001</v>
      </c>
      <c r="BE29">
        <v>1</v>
      </c>
      <c r="BF29">
        <v>9050827</v>
      </c>
      <c r="BG29">
        <v>26564555</v>
      </c>
      <c r="BH29" t="s">
        <v>16</v>
      </c>
      <c r="BI29">
        <v>100</v>
      </c>
      <c r="BJ29" t="s">
        <v>16</v>
      </c>
      <c r="BK29">
        <v>0.76100000000000001</v>
      </c>
    </row>
    <row r="30" spans="1:63" s="1" customFormat="1"/>
    <row r="31" spans="1:63">
      <c r="A31" t="s">
        <v>0</v>
      </c>
      <c r="H31" t="s">
        <v>1</v>
      </c>
      <c r="O31" t="s">
        <v>2</v>
      </c>
      <c r="V31" t="s">
        <v>3</v>
      </c>
      <c r="AC31" t="s">
        <v>4</v>
      </c>
      <c r="AJ31" t="s">
        <v>5</v>
      </c>
      <c r="AQ31" t="s">
        <v>6</v>
      </c>
      <c r="AX31" t="s">
        <v>7</v>
      </c>
      <c r="BE31" t="s">
        <v>8</v>
      </c>
    </row>
    <row r="32" spans="1:63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9</v>
      </c>
      <c r="P32" t="s">
        <v>10</v>
      </c>
      <c r="Q32" t="s">
        <v>11</v>
      </c>
      <c r="R32" t="s">
        <v>12</v>
      </c>
      <c r="S32" t="s">
        <v>13</v>
      </c>
      <c r="T32" t="s">
        <v>14</v>
      </c>
      <c r="U32" t="s">
        <v>15</v>
      </c>
      <c r="V32" t="s">
        <v>9</v>
      </c>
      <c r="W32" t="s">
        <v>10</v>
      </c>
      <c r="X32" t="s">
        <v>11</v>
      </c>
      <c r="Y32" t="s">
        <v>12</v>
      </c>
      <c r="Z32" t="s">
        <v>13</v>
      </c>
      <c r="AA32" t="s">
        <v>14</v>
      </c>
      <c r="AB32" t="s">
        <v>15</v>
      </c>
      <c r="AC32" t="s">
        <v>9</v>
      </c>
      <c r="AD32" t="s">
        <v>10</v>
      </c>
      <c r="AE32" t="s">
        <v>11</v>
      </c>
      <c r="AF32" t="s">
        <v>12</v>
      </c>
      <c r="AG32" t="s">
        <v>13</v>
      </c>
      <c r="AH32" t="s">
        <v>14</v>
      </c>
      <c r="AI32" t="s">
        <v>15</v>
      </c>
      <c r="AJ32" t="s">
        <v>9</v>
      </c>
      <c r="AK32" t="s">
        <v>10</v>
      </c>
      <c r="AL32" t="s">
        <v>11</v>
      </c>
      <c r="AM32" t="s">
        <v>12</v>
      </c>
      <c r="AN32" t="s">
        <v>13</v>
      </c>
      <c r="AO32" t="s">
        <v>14</v>
      </c>
      <c r="AP32" t="s">
        <v>15</v>
      </c>
      <c r="AQ32" t="s">
        <v>9</v>
      </c>
      <c r="AR32" t="s">
        <v>10</v>
      </c>
      <c r="AS32" t="s">
        <v>11</v>
      </c>
      <c r="AT32" t="s">
        <v>12</v>
      </c>
      <c r="AU32" t="s">
        <v>13</v>
      </c>
      <c r="AV32" t="s">
        <v>14</v>
      </c>
      <c r="AW32" t="s">
        <v>15</v>
      </c>
      <c r="AX32" t="s">
        <v>9</v>
      </c>
      <c r="AY32" t="s">
        <v>10</v>
      </c>
      <c r="AZ32" t="s">
        <v>11</v>
      </c>
      <c r="BA32" t="s">
        <v>12</v>
      </c>
      <c r="BB32" t="s">
        <v>13</v>
      </c>
      <c r="BC32" t="s">
        <v>14</v>
      </c>
      <c r="BD32" t="s">
        <v>15</v>
      </c>
      <c r="BE32" t="s">
        <v>9</v>
      </c>
      <c r="BF32" t="s">
        <v>10</v>
      </c>
      <c r="BG32" t="s">
        <v>11</v>
      </c>
      <c r="BH32" t="s">
        <v>12</v>
      </c>
      <c r="BI32" t="s">
        <v>13</v>
      </c>
      <c r="BJ32" t="s">
        <v>14</v>
      </c>
      <c r="BK32" t="s">
        <v>15</v>
      </c>
    </row>
    <row r="33" spans="1:63">
      <c r="A33">
        <v>1</v>
      </c>
      <c r="B33">
        <v>15010859</v>
      </c>
      <c r="C33">
        <v>324669332</v>
      </c>
      <c r="D33" t="s">
        <v>16</v>
      </c>
      <c r="E33">
        <v>100</v>
      </c>
      <c r="F33" t="s">
        <v>16</v>
      </c>
      <c r="G33">
        <v>0.77100000000000002</v>
      </c>
      <c r="H33">
        <v>1</v>
      </c>
      <c r="I33">
        <v>13849834</v>
      </c>
      <c r="J33">
        <v>322967910</v>
      </c>
      <c r="K33" t="s">
        <v>16</v>
      </c>
      <c r="L33">
        <v>100</v>
      </c>
      <c r="M33" t="s">
        <v>16</v>
      </c>
      <c r="N33">
        <v>0.76600000000000001</v>
      </c>
      <c r="O33">
        <v>1</v>
      </c>
      <c r="P33">
        <v>14213465</v>
      </c>
      <c r="Q33">
        <v>323670711</v>
      </c>
      <c r="R33" t="s">
        <v>16</v>
      </c>
      <c r="S33">
        <v>100</v>
      </c>
      <c r="T33" t="s">
        <v>16</v>
      </c>
      <c r="U33">
        <v>0.74099999999999999</v>
      </c>
      <c r="V33">
        <v>1</v>
      </c>
      <c r="W33">
        <v>25543185</v>
      </c>
      <c r="X33">
        <v>339050385</v>
      </c>
      <c r="Y33" t="s">
        <v>16</v>
      </c>
      <c r="Z33">
        <v>100</v>
      </c>
      <c r="AA33" t="s">
        <v>16</v>
      </c>
      <c r="AB33">
        <v>0.77500000000000002</v>
      </c>
      <c r="AC33">
        <v>1</v>
      </c>
      <c r="AD33">
        <v>15331690</v>
      </c>
      <c r="AE33">
        <v>328171391</v>
      </c>
      <c r="AF33" t="s">
        <v>16</v>
      </c>
      <c r="AG33">
        <v>100</v>
      </c>
      <c r="AH33" t="s">
        <v>16</v>
      </c>
      <c r="AI33">
        <v>0.77700000000000002</v>
      </c>
      <c r="AJ33">
        <v>1</v>
      </c>
      <c r="AK33">
        <v>16942725</v>
      </c>
      <c r="AL33">
        <v>330816929</v>
      </c>
      <c r="AM33" t="s">
        <v>16</v>
      </c>
      <c r="AN33">
        <v>100</v>
      </c>
      <c r="AO33" t="s">
        <v>16</v>
      </c>
      <c r="AP33">
        <v>0.75</v>
      </c>
      <c r="AQ33">
        <v>1</v>
      </c>
      <c r="AR33">
        <v>61283177</v>
      </c>
      <c r="AS33">
        <v>365156137</v>
      </c>
      <c r="AT33" t="s">
        <v>16</v>
      </c>
      <c r="AU33">
        <v>100</v>
      </c>
      <c r="AV33" t="s">
        <v>16</v>
      </c>
      <c r="AW33">
        <v>0.77200000000000002</v>
      </c>
      <c r="AX33">
        <v>1</v>
      </c>
      <c r="AY33">
        <v>60116993</v>
      </c>
      <c r="AZ33">
        <v>363989953</v>
      </c>
      <c r="BA33" t="s">
        <v>16</v>
      </c>
      <c r="BB33">
        <v>100</v>
      </c>
      <c r="BC33" t="s">
        <v>16</v>
      </c>
      <c r="BD33">
        <v>0.76200000000000001</v>
      </c>
      <c r="BE33">
        <v>1</v>
      </c>
      <c r="BF33">
        <v>63671246</v>
      </c>
      <c r="BG33">
        <v>367544206</v>
      </c>
      <c r="BH33" t="s">
        <v>16</v>
      </c>
      <c r="BI33">
        <v>100</v>
      </c>
      <c r="BJ33" t="s">
        <v>16</v>
      </c>
      <c r="BK33">
        <v>0.73599999999999999</v>
      </c>
    </row>
    <row r="34" spans="1:63">
      <c r="A34" t="s">
        <v>0</v>
      </c>
      <c r="H34" t="s">
        <v>1</v>
      </c>
      <c r="O34" t="s">
        <v>2</v>
      </c>
      <c r="V34" t="s">
        <v>3</v>
      </c>
      <c r="AC34" t="s">
        <v>4</v>
      </c>
      <c r="AJ34" t="s">
        <v>5</v>
      </c>
      <c r="AQ34" t="s">
        <v>6</v>
      </c>
      <c r="AX34" t="s">
        <v>7</v>
      </c>
      <c r="BE34" t="s">
        <v>8</v>
      </c>
    </row>
    <row r="35" spans="1:63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9</v>
      </c>
      <c r="I35" t="s">
        <v>10</v>
      </c>
      <c r="J35" t="s">
        <v>11</v>
      </c>
      <c r="K35" t="s">
        <v>12</v>
      </c>
      <c r="L35" t="s">
        <v>13</v>
      </c>
      <c r="M35" t="s">
        <v>14</v>
      </c>
      <c r="N35" t="s">
        <v>15</v>
      </c>
      <c r="O35" t="s">
        <v>9</v>
      </c>
      <c r="P35" t="s">
        <v>10</v>
      </c>
      <c r="Q35" t="s">
        <v>11</v>
      </c>
      <c r="R35" t="s">
        <v>12</v>
      </c>
      <c r="S35" t="s">
        <v>13</v>
      </c>
      <c r="T35" t="s">
        <v>14</v>
      </c>
      <c r="U35" t="s">
        <v>15</v>
      </c>
      <c r="V35" t="s">
        <v>9</v>
      </c>
      <c r="W35" t="s">
        <v>10</v>
      </c>
      <c r="X35" t="s">
        <v>11</v>
      </c>
      <c r="Y35" t="s">
        <v>12</v>
      </c>
      <c r="Z35" t="s">
        <v>13</v>
      </c>
      <c r="AA35" t="s">
        <v>14</v>
      </c>
      <c r="AB35" t="s">
        <v>15</v>
      </c>
      <c r="AC35" t="s">
        <v>9</v>
      </c>
      <c r="AD35" t="s">
        <v>10</v>
      </c>
      <c r="AE35" t="s">
        <v>11</v>
      </c>
      <c r="AF35" t="s">
        <v>12</v>
      </c>
      <c r="AG35" t="s">
        <v>13</v>
      </c>
      <c r="AH35" t="s">
        <v>14</v>
      </c>
      <c r="AI35" t="s">
        <v>15</v>
      </c>
      <c r="AJ35" t="s">
        <v>9</v>
      </c>
      <c r="AK35" t="s">
        <v>10</v>
      </c>
      <c r="AL35" t="s">
        <v>11</v>
      </c>
      <c r="AM35" t="s">
        <v>12</v>
      </c>
      <c r="AN35" t="s">
        <v>13</v>
      </c>
      <c r="AO35" t="s">
        <v>14</v>
      </c>
      <c r="AP35" t="s">
        <v>15</v>
      </c>
      <c r="AQ35" t="s">
        <v>9</v>
      </c>
      <c r="AR35" t="s">
        <v>10</v>
      </c>
      <c r="AS35" t="s">
        <v>11</v>
      </c>
      <c r="AT35" t="s">
        <v>12</v>
      </c>
      <c r="AU35" t="s">
        <v>13</v>
      </c>
      <c r="AV35" t="s">
        <v>14</v>
      </c>
      <c r="AW35" t="s">
        <v>15</v>
      </c>
      <c r="AX35" t="s">
        <v>9</v>
      </c>
      <c r="AY35" t="s">
        <v>10</v>
      </c>
      <c r="AZ35" t="s">
        <v>11</v>
      </c>
      <c r="BA35" t="s">
        <v>12</v>
      </c>
      <c r="BB35" t="s">
        <v>13</v>
      </c>
      <c r="BC35" t="s">
        <v>14</v>
      </c>
      <c r="BD35" t="s">
        <v>15</v>
      </c>
      <c r="BE35" t="s">
        <v>9</v>
      </c>
      <c r="BF35" t="s">
        <v>10</v>
      </c>
      <c r="BG35" t="s">
        <v>11</v>
      </c>
      <c r="BH35" t="s">
        <v>12</v>
      </c>
      <c r="BI35" t="s">
        <v>13</v>
      </c>
      <c r="BJ35" t="s">
        <v>14</v>
      </c>
      <c r="BK35" t="s">
        <v>15</v>
      </c>
    </row>
    <row r="36" spans="1:63">
      <c r="A36">
        <v>1</v>
      </c>
      <c r="B36">
        <v>1193760</v>
      </c>
      <c r="C36">
        <v>16958880</v>
      </c>
      <c r="D36" t="s">
        <v>16</v>
      </c>
      <c r="E36">
        <v>100</v>
      </c>
      <c r="F36" t="s">
        <v>16</v>
      </c>
      <c r="G36">
        <v>0.77100000000000002</v>
      </c>
      <c r="H36">
        <v>1</v>
      </c>
      <c r="I36">
        <v>4404971</v>
      </c>
      <c r="J36">
        <v>20854883</v>
      </c>
      <c r="K36" t="s">
        <v>16</v>
      </c>
      <c r="L36">
        <v>100</v>
      </c>
      <c r="M36" t="s">
        <v>16</v>
      </c>
      <c r="N36">
        <v>0.76600000000000001</v>
      </c>
      <c r="V36">
        <v>1</v>
      </c>
      <c r="W36">
        <v>1688083</v>
      </c>
      <c r="X36">
        <v>22033683</v>
      </c>
      <c r="Y36" t="s">
        <v>16</v>
      </c>
      <c r="Z36">
        <v>100</v>
      </c>
      <c r="AA36" t="s">
        <v>16</v>
      </c>
      <c r="AB36">
        <v>0.77500000000000002</v>
      </c>
      <c r="AC36">
        <v>1</v>
      </c>
      <c r="AD36">
        <v>5565356</v>
      </c>
      <c r="AE36">
        <v>26142156</v>
      </c>
      <c r="AF36" t="s">
        <v>16</v>
      </c>
      <c r="AG36">
        <v>100</v>
      </c>
      <c r="AH36" t="s">
        <v>16</v>
      </c>
      <c r="AI36">
        <v>0.77700000000000002</v>
      </c>
      <c r="AQ36">
        <v>1</v>
      </c>
      <c r="AR36">
        <v>2332923</v>
      </c>
      <c r="AS36">
        <v>19716443</v>
      </c>
      <c r="AT36" t="s">
        <v>16</v>
      </c>
      <c r="AU36">
        <v>100</v>
      </c>
      <c r="AV36" t="s">
        <v>16</v>
      </c>
      <c r="AW36">
        <v>0.77200000000000002</v>
      </c>
      <c r="AX36">
        <v>1</v>
      </c>
      <c r="AY36">
        <v>6309497</v>
      </c>
      <c r="AZ36">
        <v>24144537</v>
      </c>
      <c r="BA36" t="s">
        <v>16</v>
      </c>
      <c r="BB36">
        <v>100</v>
      </c>
      <c r="BC36" t="s">
        <v>16</v>
      </c>
      <c r="BD36">
        <v>0.76200000000000001</v>
      </c>
    </row>
    <row r="37" spans="1:63">
      <c r="A37" t="s">
        <v>0</v>
      </c>
      <c r="H37" t="s">
        <v>1</v>
      </c>
      <c r="O37" t="s">
        <v>2</v>
      </c>
      <c r="V37" t="s">
        <v>3</v>
      </c>
      <c r="AC37" t="s">
        <v>4</v>
      </c>
      <c r="AJ37" t="s">
        <v>5</v>
      </c>
      <c r="AQ37" t="s">
        <v>6</v>
      </c>
      <c r="AX37" t="s">
        <v>7</v>
      </c>
      <c r="BE37" t="s">
        <v>8</v>
      </c>
    </row>
    <row r="38" spans="1:63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9</v>
      </c>
      <c r="I38" t="s">
        <v>10</v>
      </c>
      <c r="J38" t="s">
        <v>11</v>
      </c>
      <c r="K38" t="s">
        <v>12</v>
      </c>
      <c r="L38" t="s">
        <v>13</v>
      </c>
      <c r="M38" t="s">
        <v>14</v>
      </c>
      <c r="N38" t="s">
        <v>15</v>
      </c>
      <c r="O38" t="s">
        <v>9</v>
      </c>
      <c r="P38" t="s">
        <v>10</v>
      </c>
      <c r="Q38" t="s">
        <v>11</v>
      </c>
      <c r="R38" t="s">
        <v>12</v>
      </c>
      <c r="S38" t="s">
        <v>13</v>
      </c>
      <c r="T38" t="s">
        <v>14</v>
      </c>
      <c r="U38" t="s">
        <v>15</v>
      </c>
      <c r="V38" t="s">
        <v>9</v>
      </c>
      <c r="W38" t="s">
        <v>10</v>
      </c>
      <c r="X38" t="s">
        <v>11</v>
      </c>
      <c r="Y38" t="s">
        <v>12</v>
      </c>
      <c r="Z38" t="s">
        <v>13</v>
      </c>
      <c r="AA38" t="s">
        <v>14</v>
      </c>
      <c r="AB38" t="s">
        <v>15</v>
      </c>
      <c r="AC38" t="s">
        <v>9</v>
      </c>
      <c r="AD38" t="s">
        <v>10</v>
      </c>
      <c r="AE38" t="s">
        <v>11</v>
      </c>
      <c r="AF38" t="s">
        <v>12</v>
      </c>
      <c r="AG38" t="s">
        <v>13</v>
      </c>
      <c r="AH38" t="s">
        <v>14</v>
      </c>
      <c r="AI38" t="s">
        <v>15</v>
      </c>
      <c r="AJ38" t="s">
        <v>9</v>
      </c>
      <c r="AK38" t="s">
        <v>10</v>
      </c>
      <c r="AL38" t="s">
        <v>11</v>
      </c>
      <c r="AM38" t="s">
        <v>12</v>
      </c>
      <c r="AN38" t="s">
        <v>13</v>
      </c>
      <c r="AO38" t="s">
        <v>14</v>
      </c>
      <c r="AP38" t="s">
        <v>15</v>
      </c>
      <c r="AQ38" t="s">
        <v>9</v>
      </c>
      <c r="AR38" t="s">
        <v>10</v>
      </c>
      <c r="AS38" t="s">
        <v>11</v>
      </c>
      <c r="AT38" t="s">
        <v>12</v>
      </c>
      <c r="AU38" t="s">
        <v>13</v>
      </c>
      <c r="AV38" t="s">
        <v>14</v>
      </c>
      <c r="AW38" t="s">
        <v>15</v>
      </c>
      <c r="AX38" t="s">
        <v>9</v>
      </c>
      <c r="AY38" t="s">
        <v>10</v>
      </c>
      <c r="AZ38" t="s">
        <v>11</v>
      </c>
      <c r="BA38" t="s">
        <v>12</v>
      </c>
      <c r="BB38" t="s">
        <v>13</v>
      </c>
      <c r="BC38" t="s">
        <v>14</v>
      </c>
      <c r="BD38" t="s">
        <v>15</v>
      </c>
      <c r="BE38" t="s">
        <v>9</v>
      </c>
      <c r="BF38" t="s">
        <v>10</v>
      </c>
      <c r="BG38" t="s">
        <v>11</v>
      </c>
      <c r="BH38" t="s">
        <v>12</v>
      </c>
      <c r="BI38" t="s">
        <v>13</v>
      </c>
      <c r="BJ38" t="s">
        <v>14</v>
      </c>
      <c r="BK38" t="s">
        <v>15</v>
      </c>
    </row>
    <row r="39" spans="1:63">
      <c r="A39">
        <v>1</v>
      </c>
      <c r="B39">
        <v>1197019</v>
      </c>
      <c r="C39">
        <v>20389339</v>
      </c>
      <c r="D39" t="s">
        <v>16</v>
      </c>
      <c r="E39">
        <v>100</v>
      </c>
      <c r="F39" t="s">
        <v>16</v>
      </c>
      <c r="G39">
        <v>0.77100000000000002</v>
      </c>
      <c r="O39">
        <v>1</v>
      </c>
      <c r="P39">
        <v>3440054</v>
      </c>
      <c r="Q39">
        <v>22175221</v>
      </c>
      <c r="R39" t="s">
        <v>16</v>
      </c>
      <c r="S39">
        <v>100</v>
      </c>
      <c r="T39" t="s">
        <v>16</v>
      </c>
      <c r="U39">
        <v>0.74299999999999999</v>
      </c>
      <c r="V39">
        <v>1</v>
      </c>
      <c r="W39">
        <v>1354484</v>
      </c>
      <c r="X39">
        <v>21237684</v>
      </c>
      <c r="Y39" t="s">
        <v>16</v>
      </c>
      <c r="Z39">
        <v>100</v>
      </c>
      <c r="AA39" t="s">
        <v>16</v>
      </c>
      <c r="AB39">
        <v>0.77500000000000002</v>
      </c>
      <c r="AJ39">
        <v>1</v>
      </c>
      <c r="AK39">
        <v>4929822</v>
      </c>
      <c r="AL39">
        <v>24350622</v>
      </c>
      <c r="AM39" t="s">
        <v>16</v>
      </c>
      <c r="AN39">
        <v>100</v>
      </c>
      <c r="AO39" t="s">
        <v>16</v>
      </c>
      <c r="AP39">
        <v>0.75</v>
      </c>
      <c r="AQ39">
        <v>1</v>
      </c>
      <c r="AR39">
        <v>1900857</v>
      </c>
      <c r="AS39">
        <v>14769177</v>
      </c>
      <c r="AT39" t="s">
        <v>16</v>
      </c>
      <c r="AU39">
        <v>100</v>
      </c>
      <c r="AV39" t="s">
        <v>16</v>
      </c>
      <c r="AW39">
        <v>0.73699999999999999</v>
      </c>
      <c r="BE39">
        <v>1</v>
      </c>
      <c r="BF39">
        <v>4309052</v>
      </c>
      <c r="BG39">
        <v>17177372</v>
      </c>
      <c r="BH39" t="s">
        <v>16</v>
      </c>
      <c r="BI39">
        <v>100</v>
      </c>
      <c r="BJ39" t="s">
        <v>16</v>
      </c>
      <c r="BK39">
        <v>0.73299999999999998</v>
      </c>
    </row>
    <row r="40" spans="1:63" s="1" customFormat="1"/>
    <row r="41" spans="1:63">
      <c r="A41" t="s">
        <v>0</v>
      </c>
      <c r="H41" t="s">
        <v>1</v>
      </c>
      <c r="O41" t="s">
        <v>2</v>
      </c>
      <c r="V41" t="s">
        <v>3</v>
      </c>
      <c r="AC41" t="s">
        <v>4</v>
      </c>
      <c r="AJ41" t="s">
        <v>5</v>
      </c>
      <c r="AQ41" t="s">
        <v>6</v>
      </c>
      <c r="AX41" t="s">
        <v>7</v>
      </c>
      <c r="BE41" t="s">
        <v>8</v>
      </c>
    </row>
    <row r="42" spans="1:63">
      <c r="A42" t="s">
        <v>9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9</v>
      </c>
      <c r="P42" t="s">
        <v>10</v>
      </c>
      <c r="Q42" t="s">
        <v>11</v>
      </c>
      <c r="R42" t="s">
        <v>12</v>
      </c>
      <c r="S42" t="s">
        <v>13</v>
      </c>
      <c r="T42" t="s">
        <v>14</v>
      </c>
      <c r="U42" t="s">
        <v>15</v>
      </c>
      <c r="V42" t="s">
        <v>9</v>
      </c>
      <c r="W42" t="s">
        <v>10</v>
      </c>
      <c r="X42" t="s">
        <v>11</v>
      </c>
      <c r="Y42" t="s">
        <v>12</v>
      </c>
      <c r="Z42" t="s">
        <v>13</v>
      </c>
      <c r="AA42" t="s">
        <v>14</v>
      </c>
      <c r="AB42" t="s">
        <v>15</v>
      </c>
      <c r="AC42" t="s">
        <v>9</v>
      </c>
      <c r="AD42" t="s">
        <v>10</v>
      </c>
      <c r="AE42" t="s">
        <v>11</v>
      </c>
      <c r="AF42" t="s">
        <v>12</v>
      </c>
      <c r="AG42" t="s">
        <v>13</v>
      </c>
      <c r="AH42" t="s">
        <v>14</v>
      </c>
      <c r="AI42" t="s">
        <v>15</v>
      </c>
      <c r="AJ42" t="s">
        <v>9</v>
      </c>
      <c r="AK42" t="s">
        <v>10</v>
      </c>
      <c r="AL42" t="s">
        <v>11</v>
      </c>
      <c r="AM42" t="s">
        <v>12</v>
      </c>
      <c r="AN42" t="s">
        <v>13</v>
      </c>
      <c r="AO42" t="s">
        <v>14</v>
      </c>
      <c r="AP42" t="s">
        <v>15</v>
      </c>
      <c r="AQ42" t="s">
        <v>9</v>
      </c>
      <c r="AR42" t="s">
        <v>10</v>
      </c>
      <c r="AS42" t="s">
        <v>11</v>
      </c>
      <c r="AT42" t="s">
        <v>12</v>
      </c>
      <c r="AU42" t="s">
        <v>13</v>
      </c>
      <c r="AV42" t="s">
        <v>14</v>
      </c>
      <c r="AW42" t="s">
        <v>15</v>
      </c>
      <c r="AX42" t="s">
        <v>9</v>
      </c>
      <c r="AY42" t="s">
        <v>10</v>
      </c>
      <c r="AZ42" t="s">
        <v>11</v>
      </c>
      <c r="BA42" t="s">
        <v>12</v>
      </c>
      <c r="BB42" t="s">
        <v>13</v>
      </c>
      <c r="BC42" t="s">
        <v>14</v>
      </c>
      <c r="BD42" t="s">
        <v>15</v>
      </c>
      <c r="BE42" t="s">
        <v>9</v>
      </c>
      <c r="BF42" t="s">
        <v>10</v>
      </c>
      <c r="BG42" t="s">
        <v>11</v>
      </c>
      <c r="BH42" t="s">
        <v>12</v>
      </c>
      <c r="BI42" t="s">
        <v>13</v>
      </c>
      <c r="BJ42" t="s">
        <v>14</v>
      </c>
      <c r="BK42" t="s">
        <v>15</v>
      </c>
    </row>
    <row r="43" spans="1:63">
      <c r="A43">
        <v>1</v>
      </c>
      <c r="B43">
        <v>19361720</v>
      </c>
      <c r="C43">
        <v>324539578</v>
      </c>
      <c r="D43" t="s">
        <v>16</v>
      </c>
      <c r="E43">
        <v>100</v>
      </c>
      <c r="F43" t="s">
        <v>16</v>
      </c>
      <c r="G43">
        <v>0.78500000000000003</v>
      </c>
      <c r="H43">
        <v>1</v>
      </c>
      <c r="I43">
        <v>14348533</v>
      </c>
      <c r="J43">
        <v>319194130</v>
      </c>
      <c r="K43" t="s">
        <v>16</v>
      </c>
      <c r="L43">
        <v>100</v>
      </c>
      <c r="M43" t="s">
        <v>16</v>
      </c>
      <c r="N43">
        <v>0.78</v>
      </c>
      <c r="O43">
        <v>1</v>
      </c>
      <c r="P43">
        <v>12750070</v>
      </c>
      <c r="Q43">
        <v>317596885</v>
      </c>
      <c r="R43" t="s">
        <v>16</v>
      </c>
      <c r="S43">
        <v>100</v>
      </c>
      <c r="T43" t="s">
        <v>16</v>
      </c>
      <c r="U43">
        <v>0.74099999999999999</v>
      </c>
      <c r="V43">
        <v>1</v>
      </c>
      <c r="W43">
        <v>15612879</v>
      </c>
      <c r="X43">
        <v>325086255</v>
      </c>
      <c r="Y43" t="s">
        <v>16</v>
      </c>
      <c r="Z43">
        <v>100</v>
      </c>
      <c r="AA43" t="s">
        <v>16</v>
      </c>
      <c r="AB43">
        <v>0.78200000000000003</v>
      </c>
      <c r="AC43">
        <v>1</v>
      </c>
      <c r="AD43">
        <v>17657619</v>
      </c>
      <c r="AE43">
        <v>326055908</v>
      </c>
      <c r="AF43" t="s">
        <v>16</v>
      </c>
      <c r="AG43">
        <v>100</v>
      </c>
      <c r="AH43" t="s">
        <v>16</v>
      </c>
      <c r="AI43">
        <v>0.77900000000000003</v>
      </c>
      <c r="AJ43">
        <v>1</v>
      </c>
      <c r="AK43">
        <v>19658630</v>
      </c>
      <c r="AL43">
        <v>328997930</v>
      </c>
      <c r="AM43" t="s">
        <v>16</v>
      </c>
      <c r="AN43">
        <v>100</v>
      </c>
      <c r="AO43" t="s">
        <v>16</v>
      </c>
      <c r="AP43">
        <v>0.749</v>
      </c>
      <c r="AQ43">
        <v>1</v>
      </c>
      <c r="AR43">
        <v>121934730</v>
      </c>
      <c r="AS43">
        <v>424469730</v>
      </c>
      <c r="AT43" t="s">
        <v>16</v>
      </c>
      <c r="AU43">
        <v>100</v>
      </c>
      <c r="AV43" t="s">
        <v>16</v>
      </c>
      <c r="AW43">
        <v>0.77700000000000002</v>
      </c>
      <c r="AX43">
        <v>1</v>
      </c>
      <c r="AY43">
        <v>106618160</v>
      </c>
      <c r="AZ43">
        <v>409153160</v>
      </c>
      <c r="BA43" t="s">
        <v>16</v>
      </c>
      <c r="BB43">
        <v>100</v>
      </c>
      <c r="BC43" t="s">
        <v>16</v>
      </c>
      <c r="BD43">
        <v>0.77200000000000002</v>
      </c>
      <c r="BE43">
        <v>1</v>
      </c>
      <c r="BF43">
        <v>58530740</v>
      </c>
      <c r="BG43">
        <v>361065740</v>
      </c>
      <c r="BH43" t="s">
        <v>16</v>
      </c>
      <c r="BI43">
        <v>100</v>
      </c>
      <c r="BJ43" t="s">
        <v>16</v>
      </c>
      <c r="BK43">
        <v>0.73499999999999999</v>
      </c>
    </row>
    <row r="44" spans="1:63">
      <c r="A44" t="s">
        <v>0</v>
      </c>
      <c r="H44" t="s">
        <v>1</v>
      </c>
      <c r="O44" t="s">
        <v>2</v>
      </c>
      <c r="V44" t="s">
        <v>3</v>
      </c>
      <c r="AC44" t="s">
        <v>4</v>
      </c>
      <c r="AJ44" t="s">
        <v>5</v>
      </c>
      <c r="AQ44" t="s">
        <v>6</v>
      </c>
      <c r="AX44" t="s">
        <v>7</v>
      </c>
      <c r="BE44" t="s">
        <v>8</v>
      </c>
    </row>
    <row r="45" spans="1:63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9</v>
      </c>
      <c r="I45" t="s">
        <v>10</v>
      </c>
      <c r="J45" t="s">
        <v>11</v>
      </c>
      <c r="K45" t="s">
        <v>12</v>
      </c>
      <c r="L45" t="s">
        <v>13</v>
      </c>
      <c r="M45" t="s">
        <v>14</v>
      </c>
      <c r="N45" t="s">
        <v>15</v>
      </c>
      <c r="O45" t="s">
        <v>9</v>
      </c>
      <c r="P45" t="s">
        <v>10</v>
      </c>
      <c r="Q45" t="s">
        <v>11</v>
      </c>
      <c r="R45" t="s">
        <v>12</v>
      </c>
      <c r="S45" t="s">
        <v>13</v>
      </c>
      <c r="T45" t="s">
        <v>14</v>
      </c>
      <c r="U45" t="s">
        <v>15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14</v>
      </c>
      <c r="AB45" t="s">
        <v>15</v>
      </c>
      <c r="AC45" t="s">
        <v>9</v>
      </c>
      <c r="AD45" t="s">
        <v>10</v>
      </c>
      <c r="AE45" t="s">
        <v>11</v>
      </c>
      <c r="AF45" t="s">
        <v>12</v>
      </c>
      <c r="AG45" t="s">
        <v>13</v>
      </c>
      <c r="AH45" t="s">
        <v>14</v>
      </c>
      <c r="AI45" t="s">
        <v>15</v>
      </c>
      <c r="AJ45" t="s">
        <v>9</v>
      </c>
      <c r="AK45" t="s">
        <v>10</v>
      </c>
      <c r="AL45" t="s">
        <v>11</v>
      </c>
      <c r="AM45" t="s">
        <v>12</v>
      </c>
      <c r="AN45" t="s">
        <v>13</v>
      </c>
      <c r="AO45" t="s">
        <v>14</v>
      </c>
      <c r="AP45" t="s">
        <v>15</v>
      </c>
      <c r="AQ45" t="s">
        <v>9</v>
      </c>
      <c r="AR45" t="s">
        <v>10</v>
      </c>
      <c r="AS45" t="s">
        <v>11</v>
      </c>
      <c r="AT45" t="s">
        <v>12</v>
      </c>
      <c r="AU45" t="s">
        <v>13</v>
      </c>
      <c r="AV45" t="s">
        <v>14</v>
      </c>
      <c r="AW45" t="s">
        <v>15</v>
      </c>
      <c r="AX45" t="s">
        <v>9</v>
      </c>
      <c r="AY45" t="s">
        <v>10</v>
      </c>
      <c r="AZ45" t="s">
        <v>11</v>
      </c>
      <c r="BA45" t="s">
        <v>12</v>
      </c>
      <c r="BB45" t="s">
        <v>13</v>
      </c>
      <c r="BC45" t="s">
        <v>14</v>
      </c>
      <c r="BD45" t="s">
        <v>15</v>
      </c>
      <c r="BE45" t="s">
        <v>9</v>
      </c>
      <c r="BF45" t="s">
        <v>10</v>
      </c>
      <c r="BG45" t="s">
        <v>11</v>
      </c>
      <c r="BH45" t="s">
        <v>12</v>
      </c>
      <c r="BI45" t="s">
        <v>13</v>
      </c>
      <c r="BJ45" t="s">
        <v>14</v>
      </c>
      <c r="BK45" t="s">
        <v>15</v>
      </c>
    </row>
    <row r="46" spans="1:63">
      <c r="A46">
        <v>1</v>
      </c>
      <c r="B46">
        <v>2489567</v>
      </c>
      <c r="C46">
        <v>25849967</v>
      </c>
      <c r="D46" t="s">
        <v>16</v>
      </c>
      <c r="E46">
        <v>100</v>
      </c>
      <c r="F46" t="s">
        <v>16</v>
      </c>
      <c r="G46">
        <v>0.78500000000000003</v>
      </c>
      <c r="H46">
        <v>1</v>
      </c>
      <c r="I46">
        <v>5366794</v>
      </c>
      <c r="J46">
        <v>28727194</v>
      </c>
      <c r="K46" t="s">
        <v>16</v>
      </c>
      <c r="L46">
        <v>100</v>
      </c>
      <c r="M46" t="s">
        <v>16</v>
      </c>
      <c r="N46">
        <v>0.78</v>
      </c>
      <c r="V46">
        <v>1</v>
      </c>
      <c r="W46">
        <v>527711</v>
      </c>
      <c r="X46">
        <v>21168834</v>
      </c>
      <c r="Y46" t="s">
        <v>16</v>
      </c>
      <c r="Z46">
        <v>100</v>
      </c>
      <c r="AA46" t="s">
        <v>16</v>
      </c>
      <c r="AB46">
        <v>0.78200000000000003</v>
      </c>
      <c r="AC46">
        <v>1</v>
      </c>
      <c r="AD46">
        <v>7213207</v>
      </c>
      <c r="AE46">
        <v>27865647</v>
      </c>
      <c r="AF46" t="s">
        <v>16</v>
      </c>
      <c r="AG46">
        <v>100</v>
      </c>
      <c r="AH46" t="s">
        <v>16</v>
      </c>
      <c r="AI46">
        <v>0.77900000000000003</v>
      </c>
      <c r="AQ46">
        <v>1</v>
      </c>
      <c r="AR46">
        <v>8082234</v>
      </c>
      <c r="AS46">
        <v>27803034</v>
      </c>
      <c r="AT46" t="s">
        <v>16</v>
      </c>
      <c r="AU46">
        <v>100</v>
      </c>
      <c r="AV46" t="s">
        <v>16</v>
      </c>
      <c r="AW46">
        <v>0.77700000000000002</v>
      </c>
      <c r="AX46">
        <v>1</v>
      </c>
      <c r="AY46">
        <v>12334374</v>
      </c>
      <c r="AZ46">
        <v>32503374</v>
      </c>
      <c r="BA46" t="s">
        <v>16</v>
      </c>
      <c r="BB46">
        <v>100</v>
      </c>
      <c r="BC46" t="s">
        <v>16</v>
      </c>
      <c r="BD46">
        <v>0.77200000000000002</v>
      </c>
    </row>
    <row r="47" spans="1:63">
      <c r="A47" t="s">
        <v>0</v>
      </c>
      <c r="H47" t="s">
        <v>1</v>
      </c>
      <c r="O47" t="s">
        <v>2</v>
      </c>
      <c r="V47" t="s">
        <v>3</v>
      </c>
      <c r="AC47" t="s">
        <v>4</v>
      </c>
      <c r="AJ47" t="s">
        <v>5</v>
      </c>
      <c r="AQ47" t="s">
        <v>6</v>
      </c>
      <c r="AX47" t="s">
        <v>7</v>
      </c>
      <c r="BE47" t="s">
        <v>8</v>
      </c>
    </row>
    <row r="48" spans="1:63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9</v>
      </c>
      <c r="I48" t="s">
        <v>10</v>
      </c>
      <c r="J48" t="s">
        <v>11</v>
      </c>
      <c r="K48" t="s">
        <v>12</v>
      </c>
      <c r="L48" t="s">
        <v>13</v>
      </c>
      <c r="M48" t="s">
        <v>14</v>
      </c>
      <c r="N48" t="s">
        <v>15</v>
      </c>
      <c r="O48" t="s">
        <v>9</v>
      </c>
      <c r="P48" t="s">
        <v>10</v>
      </c>
      <c r="Q48" t="s">
        <v>11</v>
      </c>
      <c r="R48" t="s">
        <v>12</v>
      </c>
      <c r="S48" t="s">
        <v>13</v>
      </c>
      <c r="T48" t="s">
        <v>14</v>
      </c>
      <c r="U48" t="s">
        <v>15</v>
      </c>
      <c r="V48" t="s">
        <v>9</v>
      </c>
      <c r="W48" t="s">
        <v>10</v>
      </c>
      <c r="X48" t="s">
        <v>11</v>
      </c>
      <c r="Y48" t="s">
        <v>12</v>
      </c>
      <c r="Z48" t="s">
        <v>13</v>
      </c>
      <c r="AA48" t="s">
        <v>14</v>
      </c>
      <c r="AB48" t="s">
        <v>15</v>
      </c>
      <c r="AC48" t="s">
        <v>9</v>
      </c>
      <c r="AD48" t="s">
        <v>10</v>
      </c>
      <c r="AE48" t="s">
        <v>11</v>
      </c>
      <c r="AF48" t="s">
        <v>12</v>
      </c>
      <c r="AG48" t="s">
        <v>13</v>
      </c>
      <c r="AH48" t="s">
        <v>14</v>
      </c>
      <c r="AI48" t="s">
        <v>15</v>
      </c>
      <c r="AJ48" t="s">
        <v>9</v>
      </c>
      <c r="AK48" t="s">
        <v>10</v>
      </c>
      <c r="AL48" t="s">
        <v>11</v>
      </c>
      <c r="AM48" t="s">
        <v>12</v>
      </c>
      <c r="AN48" t="s">
        <v>13</v>
      </c>
      <c r="AO48" t="s">
        <v>14</v>
      </c>
      <c r="AP48" t="s">
        <v>15</v>
      </c>
      <c r="AQ48" t="s">
        <v>9</v>
      </c>
      <c r="AR48" t="s">
        <v>10</v>
      </c>
      <c r="AS48" t="s">
        <v>11</v>
      </c>
      <c r="AT48" t="s">
        <v>12</v>
      </c>
      <c r="AU48" t="s">
        <v>13</v>
      </c>
      <c r="AV48" t="s">
        <v>14</v>
      </c>
      <c r="AW48" t="s">
        <v>15</v>
      </c>
      <c r="AX48" t="s">
        <v>9</v>
      </c>
      <c r="AY48" t="s">
        <v>10</v>
      </c>
      <c r="AZ48" t="s">
        <v>11</v>
      </c>
      <c r="BA48" t="s">
        <v>12</v>
      </c>
      <c r="BB48" t="s">
        <v>13</v>
      </c>
      <c r="BC48" t="s">
        <v>14</v>
      </c>
      <c r="BD48" t="s">
        <v>15</v>
      </c>
      <c r="BE48" t="s">
        <v>9</v>
      </c>
      <c r="BF48" t="s">
        <v>10</v>
      </c>
      <c r="BG48" t="s">
        <v>11</v>
      </c>
      <c r="BH48" t="s">
        <v>12</v>
      </c>
      <c r="BI48" t="s">
        <v>13</v>
      </c>
      <c r="BJ48" t="s">
        <v>14</v>
      </c>
      <c r="BK48" t="s">
        <v>15</v>
      </c>
    </row>
    <row r="49" spans="1:63">
      <c r="A49">
        <v>1</v>
      </c>
      <c r="B49">
        <v>1402249</v>
      </c>
      <c r="C49">
        <v>19319449</v>
      </c>
      <c r="D49" t="s">
        <v>16</v>
      </c>
      <c r="E49">
        <v>100</v>
      </c>
      <c r="F49" t="s">
        <v>16</v>
      </c>
      <c r="G49">
        <v>0.751</v>
      </c>
      <c r="O49">
        <v>1</v>
      </c>
      <c r="P49">
        <v>3818805</v>
      </c>
      <c r="Q49">
        <v>22640693</v>
      </c>
      <c r="R49" t="s">
        <v>16</v>
      </c>
      <c r="S49">
        <v>100</v>
      </c>
      <c r="T49" t="s">
        <v>16</v>
      </c>
      <c r="U49">
        <v>0.749</v>
      </c>
      <c r="V49">
        <v>1</v>
      </c>
      <c r="W49">
        <v>405944</v>
      </c>
      <c r="X49">
        <v>21226854</v>
      </c>
      <c r="Y49" t="s">
        <v>16</v>
      </c>
      <c r="Z49">
        <v>100</v>
      </c>
      <c r="AA49" t="s">
        <v>16</v>
      </c>
      <c r="AB49">
        <v>0.75700000000000001</v>
      </c>
      <c r="AJ49">
        <v>1</v>
      </c>
      <c r="AK49">
        <v>6032859</v>
      </c>
      <c r="AL49">
        <v>26458359</v>
      </c>
      <c r="AM49" t="s">
        <v>16</v>
      </c>
      <c r="AN49">
        <v>100</v>
      </c>
      <c r="AO49" t="s">
        <v>16</v>
      </c>
      <c r="AP49">
        <v>0.751</v>
      </c>
      <c r="AQ49">
        <v>1</v>
      </c>
      <c r="AR49">
        <v>7000887</v>
      </c>
      <c r="AS49">
        <v>25152987</v>
      </c>
      <c r="AT49" t="s">
        <v>16</v>
      </c>
      <c r="AU49">
        <v>100</v>
      </c>
      <c r="AV49" t="s">
        <v>16</v>
      </c>
      <c r="AW49">
        <v>0.74</v>
      </c>
      <c r="BE49">
        <v>1</v>
      </c>
      <c r="BF49">
        <v>4483093</v>
      </c>
      <c r="BG49">
        <v>22186993</v>
      </c>
      <c r="BH49" t="s">
        <v>16</v>
      </c>
      <c r="BI49">
        <v>100</v>
      </c>
      <c r="BJ49" t="s">
        <v>16</v>
      </c>
      <c r="BK49">
        <v>0.73799999999999999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2307-0B8C-6440-B5AB-AE84DC787059}">
  <dimension ref="A1:V37"/>
  <sheetViews>
    <sheetView tabSelected="1" zoomScale="115" workbookViewId="0">
      <selection activeCell="C26" sqref="C26"/>
    </sheetView>
  </sheetViews>
  <sheetFormatPr baseColWidth="10" defaultRowHeight="20"/>
  <sheetData>
    <row r="1" spans="1:22">
      <c r="A1" s="2"/>
      <c r="B1" s="2"/>
      <c r="C1" s="6" t="s">
        <v>20</v>
      </c>
      <c r="D1" s="6"/>
      <c r="E1" s="6"/>
      <c r="F1" s="6" t="s">
        <v>21</v>
      </c>
      <c r="G1" s="6"/>
      <c r="H1" s="6"/>
      <c r="I1" s="6" t="s">
        <v>22</v>
      </c>
      <c r="J1" s="6"/>
      <c r="K1" s="6"/>
    </row>
    <row r="2" spans="1:22">
      <c r="A2" s="2"/>
      <c r="B2" s="2"/>
      <c r="C2" s="2" t="s">
        <v>17</v>
      </c>
      <c r="D2" s="2" t="s">
        <v>18</v>
      </c>
      <c r="E2" s="2" t="s">
        <v>19</v>
      </c>
      <c r="F2" s="2" t="s">
        <v>17</v>
      </c>
      <c r="G2" s="2" t="s">
        <v>18</v>
      </c>
      <c r="H2" s="2" t="s">
        <v>19</v>
      </c>
      <c r="I2" s="2" t="s">
        <v>17</v>
      </c>
      <c r="J2" s="2" t="s">
        <v>18</v>
      </c>
      <c r="K2" s="2" t="s">
        <v>19</v>
      </c>
    </row>
    <row r="3" spans="1:22">
      <c r="A3" s="6" t="s">
        <v>26</v>
      </c>
      <c r="B3" s="2" t="s">
        <v>25</v>
      </c>
      <c r="C3" s="2">
        <v>202646456</v>
      </c>
      <c r="D3" s="2">
        <v>160133658</v>
      </c>
      <c r="E3" s="2">
        <v>185428169</v>
      </c>
      <c r="F3" s="2">
        <v>70429203</v>
      </c>
      <c r="G3" s="2">
        <v>60018264</v>
      </c>
      <c r="H3" s="2">
        <v>65783828</v>
      </c>
      <c r="I3" s="2">
        <v>172030408</v>
      </c>
      <c r="J3" s="2">
        <v>201753987</v>
      </c>
      <c r="K3" s="2">
        <v>121072521</v>
      </c>
    </row>
    <row r="4" spans="1:22">
      <c r="A4" s="6"/>
      <c r="B4" s="2" t="s">
        <v>24</v>
      </c>
      <c r="C4" s="2">
        <v>19081248</v>
      </c>
      <c r="D4" s="2">
        <v>45979491</v>
      </c>
      <c r="E4" s="2"/>
      <c r="F4" s="2">
        <v>4959196</v>
      </c>
      <c r="G4" s="2">
        <v>18521474</v>
      </c>
      <c r="H4" s="2"/>
      <c r="I4" s="2">
        <v>7856949</v>
      </c>
      <c r="J4" s="2">
        <v>18093484</v>
      </c>
      <c r="K4" s="2"/>
    </row>
    <row r="5" spans="1:22">
      <c r="A5" s="6"/>
      <c r="B5" s="2" t="s">
        <v>23</v>
      </c>
      <c r="C5" s="2">
        <v>23361801</v>
      </c>
      <c r="D5" s="2"/>
      <c r="E5" s="2">
        <v>50719809</v>
      </c>
      <c r="F5" s="2">
        <v>4474862</v>
      </c>
      <c r="G5" s="2"/>
      <c r="H5" s="2">
        <v>17144030</v>
      </c>
      <c r="I5" s="2">
        <v>10237790</v>
      </c>
      <c r="J5" s="2"/>
      <c r="K5" s="2">
        <v>9178742</v>
      </c>
    </row>
    <row r="6" spans="1:22">
      <c r="A6" s="6" t="s">
        <v>27</v>
      </c>
      <c r="B6" s="2" t="s">
        <v>25</v>
      </c>
      <c r="C6" s="2">
        <v>232578241</v>
      </c>
      <c r="D6" s="2">
        <v>211520629</v>
      </c>
      <c r="E6" s="2">
        <v>283375223</v>
      </c>
      <c r="F6" s="2">
        <v>71606460</v>
      </c>
      <c r="G6" s="2">
        <v>79180094</v>
      </c>
      <c r="H6" s="2">
        <v>85298340</v>
      </c>
      <c r="I6" s="2">
        <v>165884470</v>
      </c>
      <c r="J6" s="2">
        <v>226661332</v>
      </c>
      <c r="K6" s="2">
        <v>223054811</v>
      </c>
      <c r="L6" s="3"/>
    </row>
    <row r="7" spans="1:22">
      <c r="A7" s="6"/>
      <c r="B7" s="2" t="s">
        <v>24</v>
      </c>
      <c r="C7" s="2">
        <v>22016270</v>
      </c>
      <c r="D7" s="2">
        <v>67153738</v>
      </c>
      <c r="E7" s="2"/>
      <c r="F7" s="2">
        <v>5361573</v>
      </c>
      <c r="G7" s="2">
        <v>25856187</v>
      </c>
      <c r="H7" s="2"/>
      <c r="I7" s="2">
        <v>10056669</v>
      </c>
      <c r="J7" s="2">
        <v>24389860</v>
      </c>
      <c r="K7" s="2"/>
    </row>
    <row r="8" spans="1:22">
      <c r="A8" s="6"/>
      <c r="B8" s="2" t="s">
        <v>23</v>
      </c>
      <c r="C8" s="2">
        <v>25651537</v>
      </c>
      <c r="D8" s="2"/>
      <c r="E8" s="2">
        <v>80373578</v>
      </c>
      <c r="F8" s="2">
        <v>5545320</v>
      </c>
      <c r="G8" s="2"/>
      <c r="H8" s="2">
        <v>25830079</v>
      </c>
      <c r="I8" s="2">
        <v>11173335</v>
      </c>
      <c r="J8" s="2"/>
      <c r="K8" s="2">
        <v>19168690</v>
      </c>
    </row>
    <row r="9" spans="1:22">
      <c r="A9" s="6" t="s">
        <v>28</v>
      </c>
      <c r="B9" s="2" t="s">
        <v>25</v>
      </c>
      <c r="C9" s="2">
        <v>252192529</v>
      </c>
      <c r="D9" s="2">
        <v>172416810</v>
      </c>
      <c r="E9" s="2">
        <v>149436539</v>
      </c>
      <c r="F9" s="2">
        <v>98083175</v>
      </c>
      <c r="G9" s="2">
        <v>56195250</v>
      </c>
      <c r="H9" s="2">
        <v>58598301</v>
      </c>
      <c r="I9" s="2">
        <v>222729441</v>
      </c>
      <c r="J9" s="2">
        <v>225059467</v>
      </c>
      <c r="K9" s="2">
        <v>104151348</v>
      </c>
    </row>
    <row r="10" spans="1:22">
      <c r="A10" s="6"/>
      <c r="B10" s="2" t="s">
        <v>24</v>
      </c>
      <c r="C10" s="2">
        <v>25713685</v>
      </c>
      <c r="D10" s="2">
        <v>51843729</v>
      </c>
      <c r="E10" s="2"/>
      <c r="F10" s="2">
        <v>9688477</v>
      </c>
      <c r="G10" s="2">
        <v>20663452</v>
      </c>
      <c r="H10" s="2"/>
      <c r="I10" s="2">
        <v>13811983</v>
      </c>
      <c r="J10" s="2">
        <v>22800836</v>
      </c>
      <c r="K10" s="2"/>
    </row>
    <row r="11" spans="1:22">
      <c r="A11" s="6"/>
      <c r="B11" s="2" t="s">
        <v>23</v>
      </c>
      <c r="C11" s="2">
        <v>22723735</v>
      </c>
      <c r="D11" s="2"/>
      <c r="E11" s="2">
        <v>44367556</v>
      </c>
      <c r="F11" s="2">
        <v>8930527</v>
      </c>
      <c r="G11" s="2"/>
      <c r="H11" s="2">
        <v>17262488</v>
      </c>
      <c r="I11" s="2">
        <v>15138353</v>
      </c>
      <c r="J11" s="2"/>
      <c r="K11" s="2">
        <v>9050827</v>
      </c>
    </row>
    <row r="12" spans="1:22">
      <c r="A12" s="6" t="s">
        <v>33</v>
      </c>
      <c r="B12" s="2" t="s">
        <v>25</v>
      </c>
      <c r="C12" s="2">
        <v>15010859</v>
      </c>
      <c r="D12" s="2">
        <v>13849834</v>
      </c>
      <c r="E12" s="2">
        <v>14213465</v>
      </c>
      <c r="F12" s="2">
        <v>25543185</v>
      </c>
      <c r="G12" s="2">
        <v>15331690</v>
      </c>
      <c r="H12" s="2">
        <v>16942725</v>
      </c>
      <c r="I12" s="2">
        <v>61283177</v>
      </c>
      <c r="J12" s="2">
        <v>60116993</v>
      </c>
      <c r="K12" s="2">
        <v>63671246</v>
      </c>
    </row>
    <row r="13" spans="1:22">
      <c r="A13" s="6"/>
      <c r="B13" s="2" t="s">
        <v>24</v>
      </c>
      <c r="C13" s="2">
        <v>1193760</v>
      </c>
      <c r="D13" s="2">
        <v>4404971</v>
      </c>
      <c r="E13" s="2"/>
      <c r="F13" s="2">
        <v>1688083</v>
      </c>
      <c r="G13" s="2">
        <v>5565356</v>
      </c>
      <c r="H13" s="2"/>
      <c r="I13" s="2">
        <v>2332923</v>
      </c>
      <c r="J13" s="2">
        <v>6309497</v>
      </c>
      <c r="K13" s="2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6"/>
      <c r="B14" s="2" t="s">
        <v>23</v>
      </c>
      <c r="C14" s="2">
        <v>1197019</v>
      </c>
      <c r="D14" s="2"/>
      <c r="E14" s="2">
        <v>3440054</v>
      </c>
      <c r="F14" s="2">
        <v>1354484</v>
      </c>
      <c r="G14" s="2"/>
      <c r="H14" s="2">
        <v>4929822</v>
      </c>
      <c r="I14" s="2">
        <v>1900857</v>
      </c>
      <c r="J14" s="2"/>
      <c r="K14" s="2">
        <v>4309052</v>
      </c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6" t="s">
        <v>34</v>
      </c>
      <c r="B15" s="2" t="s">
        <v>25</v>
      </c>
      <c r="C15" s="2">
        <v>19361720</v>
      </c>
      <c r="D15" s="2">
        <v>14348533</v>
      </c>
      <c r="E15" s="2">
        <v>12750070</v>
      </c>
      <c r="F15" s="2">
        <v>15612879</v>
      </c>
      <c r="G15" s="2">
        <v>17657619</v>
      </c>
      <c r="H15" s="2">
        <v>19658630</v>
      </c>
      <c r="I15" s="2">
        <v>121934730</v>
      </c>
      <c r="J15" s="2">
        <v>106618160</v>
      </c>
      <c r="K15" s="2">
        <v>58530740</v>
      </c>
    </row>
    <row r="16" spans="1:22">
      <c r="A16" s="6"/>
      <c r="B16" s="2" t="s">
        <v>24</v>
      </c>
      <c r="C16" s="2">
        <v>2489567</v>
      </c>
      <c r="D16" s="2">
        <v>5366794</v>
      </c>
      <c r="E16" s="2"/>
      <c r="F16" s="2">
        <v>527711</v>
      </c>
      <c r="G16" s="2">
        <v>7213207</v>
      </c>
      <c r="H16" s="2"/>
      <c r="I16" s="2">
        <v>8082234</v>
      </c>
      <c r="J16" s="2">
        <v>12334374</v>
      </c>
      <c r="K16" s="2"/>
    </row>
    <row r="17" spans="1:11">
      <c r="A17" s="6"/>
      <c r="B17" s="2" t="s">
        <v>23</v>
      </c>
      <c r="C17" s="2">
        <v>1402249</v>
      </c>
      <c r="D17" s="2"/>
      <c r="E17" s="2">
        <v>3818805</v>
      </c>
      <c r="F17" s="2">
        <v>405944</v>
      </c>
      <c r="G17" s="2"/>
      <c r="H17" s="2">
        <v>6032859</v>
      </c>
      <c r="I17" s="2">
        <v>7000887</v>
      </c>
      <c r="J17" s="2"/>
      <c r="K17" s="2">
        <v>4483093</v>
      </c>
    </row>
    <row r="22" spans="1:11">
      <c r="B22" s="2"/>
      <c r="C22" s="6" t="s">
        <v>20</v>
      </c>
      <c r="D22" s="6"/>
      <c r="E22" s="6"/>
      <c r="F22" s="6" t="s">
        <v>21</v>
      </c>
      <c r="G22" s="6"/>
      <c r="H22" s="6"/>
      <c r="I22" s="6" t="s">
        <v>22</v>
      </c>
      <c r="J22" s="6"/>
      <c r="K22" s="6"/>
    </row>
    <row r="23" spans="1:11">
      <c r="B23" s="2"/>
      <c r="C23" s="2" t="s">
        <v>17</v>
      </c>
      <c r="D23" s="2" t="s">
        <v>18</v>
      </c>
      <c r="E23" s="2" t="s">
        <v>19</v>
      </c>
      <c r="F23" s="2" t="s">
        <v>17</v>
      </c>
      <c r="G23" s="2" t="s">
        <v>18</v>
      </c>
      <c r="H23" s="2" t="s">
        <v>19</v>
      </c>
      <c r="I23" s="2" t="s">
        <v>17</v>
      </c>
      <c r="J23" s="2" t="s">
        <v>18</v>
      </c>
      <c r="K23" s="2" t="s">
        <v>19</v>
      </c>
    </row>
    <row r="24" spans="1:11">
      <c r="B24" s="2" t="s">
        <v>26</v>
      </c>
      <c r="C24" s="2">
        <v>0</v>
      </c>
      <c r="D24" s="2">
        <f>(D4-C4)/(D3)*100</f>
        <v>16.797369982018395</v>
      </c>
      <c r="E24" s="2">
        <f>(E5-C5)/(E3)*100</f>
        <v>14.753965456025183</v>
      </c>
      <c r="F24" s="2">
        <v>0</v>
      </c>
      <c r="G24" s="2">
        <f>(G4-F4)/(G3)*100</f>
        <v>22.596918164777307</v>
      </c>
      <c r="H24" s="2">
        <f>(H5-F5)/(H3)*100</f>
        <v>19.258788041340495</v>
      </c>
      <c r="I24" s="2">
        <v>0</v>
      </c>
      <c r="J24" s="2">
        <f>(J4-I4)/(J3)*100</f>
        <v>5.0737708593585316</v>
      </c>
      <c r="K24" s="2">
        <v>0</v>
      </c>
    </row>
    <row r="25" spans="1:11">
      <c r="B25" s="2" t="s">
        <v>27</v>
      </c>
      <c r="C25" s="2">
        <v>0</v>
      </c>
      <c r="D25" s="2">
        <f>(D7-C7)/(D6)*100</f>
        <v>21.339511050716474</v>
      </c>
      <c r="E25" s="2">
        <f>(E8-C8)/(E6)*100</f>
        <v>19.31080650618491</v>
      </c>
      <c r="F25" s="2">
        <v>0</v>
      </c>
      <c r="G25" s="2">
        <f>(G7-F7)/(G6)*100</f>
        <v>25.883543406755745</v>
      </c>
      <c r="H25" s="2">
        <f>(H8-F8)/(H6)*100</f>
        <v>23.780954002152914</v>
      </c>
      <c r="I25" s="2">
        <v>0</v>
      </c>
      <c r="J25" s="2">
        <f>(J7-I7)/(J6)*100</f>
        <v>6.3236154457964631</v>
      </c>
      <c r="K25" s="2">
        <f>(K8-I8)/(K6)*100</f>
        <v>3.5844799599502921</v>
      </c>
    </row>
    <row r="26" spans="1:11">
      <c r="B26" s="2" t="s">
        <v>28</v>
      </c>
      <c r="C26" s="2">
        <v>0</v>
      </c>
      <c r="D26" s="2">
        <f>(D10-C10)/(D9)*100</f>
        <v>15.155160335004458</v>
      </c>
      <c r="E26" s="2">
        <f>(E11-C11)/(E9)*100</f>
        <v>14.48362036810823</v>
      </c>
      <c r="F26" s="2">
        <v>0</v>
      </c>
      <c r="G26" s="2">
        <f>(G10-F10)/(G9)*100</f>
        <v>19.530075940582169</v>
      </c>
      <c r="H26" s="2">
        <f>(H11-F11)/(H9)*100</f>
        <v>14.218775728668312</v>
      </c>
      <c r="I26" s="2">
        <v>0</v>
      </c>
      <c r="J26" s="2">
        <f>(J10-I10)/(J9)*100</f>
        <v>3.9939901750500462</v>
      </c>
      <c r="K26" s="2">
        <v>0</v>
      </c>
    </row>
    <row r="27" spans="1:11">
      <c r="B27" s="5" t="s">
        <v>33</v>
      </c>
      <c r="C27" s="5">
        <v>0</v>
      </c>
      <c r="D27" s="2">
        <f>(D13-C13)/(D12)*100</f>
        <v>23.185916885357617</v>
      </c>
      <c r="E27" s="2">
        <f>(E14-C14)/(E12)*100</f>
        <v>15.781056906250518</v>
      </c>
      <c r="F27" s="5">
        <v>0</v>
      </c>
      <c r="G27" s="2">
        <f>(G13-F13)/(G12)*100</f>
        <v>25.289273393865908</v>
      </c>
      <c r="H27" s="2">
        <f>(H14-F14)/(H12)*100</f>
        <v>21.102496794346838</v>
      </c>
      <c r="I27" s="5">
        <v>0</v>
      </c>
      <c r="J27" s="2">
        <f>(J13-I13)/(J12)*100</f>
        <v>6.6147253905397427</v>
      </c>
      <c r="K27" s="2">
        <f>(K14-I14)/(K12)*100</f>
        <v>3.7822331920440195</v>
      </c>
    </row>
    <row r="28" spans="1:11">
      <c r="B28" s="5" t="s">
        <v>34</v>
      </c>
      <c r="C28" s="5">
        <v>0</v>
      </c>
      <c r="D28" s="2">
        <f>(D16-C16)/(D15)*100</f>
        <v>20.052412326751455</v>
      </c>
      <c r="E28" s="2">
        <f>(E17-C17)/(E15)*100</f>
        <v>18.953276334953458</v>
      </c>
      <c r="F28" s="5">
        <v>0</v>
      </c>
      <c r="G28" s="2">
        <f>(G16-F16)/(G15)*100</f>
        <v>37.861820441363022</v>
      </c>
      <c r="H28" s="2">
        <f>(H17-F17)/(H15)*100</f>
        <v>28.623128875206461</v>
      </c>
      <c r="I28" s="5">
        <v>0</v>
      </c>
      <c r="J28" s="2">
        <f>(J16-I16)/(J15)*100</f>
        <v>3.9881948816224178</v>
      </c>
      <c r="K28" s="2">
        <v>0</v>
      </c>
    </row>
    <row r="30" spans="1:11">
      <c r="B30" s="2"/>
      <c r="C30" s="2" t="s">
        <v>20</v>
      </c>
      <c r="D30" s="2" t="s">
        <v>21</v>
      </c>
      <c r="E30" s="2" t="s">
        <v>22</v>
      </c>
      <c r="F30" s="2" t="s">
        <v>29</v>
      </c>
      <c r="G30" s="2" t="s">
        <v>30</v>
      </c>
      <c r="H30" s="2" t="s">
        <v>31</v>
      </c>
    </row>
    <row r="31" spans="1:11">
      <c r="B31" s="2" t="s">
        <v>32</v>
      </c>
      <c r="C31" s="2">
        <f>AVERAGE(C24:C28)</f>
        <v>0</v>
      </c>
      <c r="D31" s="2">
        <f>AVERAGE(F24:F28)</f>
        <v>0</v>
      </c>
      <c r="E31" s="2">
        <f>AVERAGE(I24:I28)</f>
        <v>0</v>
      </c>
      <c r="F31" s="2">
        <f>STDEV(C24:C28)</f>
        <v>0</v>
      </c>
      <c r="G31" s="2">
        <f>STDEV(F24:F28)</f>
        <v>0</v>
      </c>
      <c r="H31" s="2">
        <f>STDEV(I24:I28)</f>
        <v>0</v>
      </c>
    </row>
    <row r="32" spans="1:11">
      <c r="B32" s="2" t="s">
        <v>24</v>
      </c>
      <c r="C32" s="2">
        <f>AVERAGE(D24:D28)</f>
        <v>19.306074115969679</v>
      </c>
      <c r="D32" s="2">
        <f>AVERAGE(G24:G28)</f>
        <v>26.232326269468832</v>
      </c>
      <c r="E32" s="2">
        <f>AVERAGE(J24:J28)</f>
        <v>5.1988593504734411</v>
      </c>
      <c r="F32" s="2">
        <f>STDEV(D24:D28)</f>
        <v>3.2889492264380054</v>
      </c>
      <c r="G32" s="2">
        <f>STDEV(G24:G28)</f>
        <v>6.9712352647207503</v>
      </c>
      <c r="H32" s="2">
        <f>STDEV(J24:J28)</f>
        <v>1.2452728851553436</v>
      </c>
    </row>
    <row r="33" spans="2:11">
      <c r="B33" s="2" t="s">
        <v>23</v>
      </c>
      <c r="C33" s="2">
        <f>AVERAGE(E24:E28)</f>
        <v>16.656545114304457</v>
      </c>
      <c r="D33" s="2">
        <f>AVERAGE(H24:H28)</f>
        <v>21.396828688343003</v>
      </c>
      <c r="E33" s="2">
        <f>AVERAGE(K24:K28)</f>
        <v>1.4733426303988622</v>
      </c>
      <c r="F33" s="2">
        <f>STDEV(E24:E28)</f>
        <v>2.3145177007047928</v>
      </c>
      <c r="G33" s="2">
        <f>STDEV(H24:H28)</f>
        <v>5.3405468181302602</v>
      </c>
      <c r="H33" s="2">
        <f>STDEV(K24:K28)</f>
        <v>2.0186686187640821</v>
      </c>
    </row>
    <row r="35" spans="2:11">
      <c r="B35" s="2"/>
      <c r="C35" s="2" t="s">
        <v>32</v>
      </c>
      <c r="D35" s="2" t="s">
        <v>24</v>
      </c>
      <c r="E35" s="2" t="s">
        <v>23</v>
      </c>
      <c r="F35" s="2" t="s">
        <v>32</v>
      </c>
      <c r="G35" s="2" t="s">
        <v>24</v>
      </c>
      <c r="H35" s="2" t="s">
        <v>23</v>
      </c>
      <c r="I35" s="2" t="s">
        <v>32</v>
      </c>
      <c r="J35" s="2" t="s">
        <v>24</v>
      </c>
      <c r="K35" s="2" t="s">
        <v>23</v>
      </c>
    </row>
    <row r="36" spans="2:11">
      <c r="B36" s="2" t="s">
        <v>35</v>
      </c>
      <c r="C36" s="2">
        <f>C31</f>
        <v>0</v>
      </c>
      <c r="D36" s="2">
        <f>C32</f>
        <v>19.306074115969679</v>
      </c>
      <c r="E36" s="2">
        <f>C33</f>
        <v>16.656545114304457</v>
      </c>
      <c r="F36" s="2">
        <f>D31</f>
        <v>0</v>
      </c>
      <c r="G36" s="2">
        <f>D32</f>
        <v>26.232326269468832</v>
      </c>
      <c r="H36" s="2">
        <f>D33</f>
        <v>21.396828688343003</v>
      </c>
      <c r="I36" s="2">
        <f>E31</f>
        <v>0</v>
      </c>
      <c r="J36" s="2">
        <f>E32</f>
        <v>5.1988593504734411</v>
      </c>
      <c r="K36" s="2">
        <f>E33</f>
        <v>1.4733426303988622</v>
      </c>
    </row>
    <row r="37" spans="2:11">
      <c r="B37" s="2" t="s">
        <v>36</v>
      </c>
      <c r="C37" s="2">
        <f>F31</f>
        <v>0</v>
      </c>
      <c r="D37" s="2">
        <f>F32</f>
        <v>3.2889492264380054</v>
      </c>
      <c r="E37" s="2">
        <f>F33</f>
        <v>2.3145177007047928</v>
      </c>
      <c r="F37" s="2">
        <f>G31</f>
        <v>0</v>
      </c>
      <c r="G37" s="2">
        <f>G32</f>
        <v>6.9712352647207503</v>
      </c>
      <c r="H37" s="2">
        <f>G33</f>
        <v>5.3405468181302602</v>
      </c>
      <c r="I37" s="2">
        <f>H31</f>
        <v>0</v>
      </c>
      <c r="J37" s="2">
        <f>H32</f>
        <v>1.2452728851553436</v>
      </c>
      <c r="K37" s="2">
        <f>H33</f>
        <v>2.0186686187640821</v>
      </c>
    </row>
  </sheetData>
  <mergeCells count="11">
    <mergeCell ref="C1:E1"/>
    <mergeCell ref="F1:H1"/>
    <mergeCell ref="I1:K1"/>
    <mergeCell ref="A3:A5"/>
    <mergeCell ref="C22:E22"/>
    <mergeCell ref="F22:H22"/>
    <mergeCell ref="I22:K22"/>
    <mergeCell ref="A6:A8"/>
    <mergeCell ref="A9:A11"/>
    <mergeCell ref="A12:A14"/>
    <mergeCell ref="A15:A17"/>
  </mergeCells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raw</vt:lpstr>
      <vt:lpstr>sumarry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2025-09-18T14:18:18Z</dcterms:created>
  <dcterms:modified xsi:type="dcterms:W3CDTF">2025-12-19T04:54:18Z</dcterms:modified>
</cp:coreProperties>
</file>